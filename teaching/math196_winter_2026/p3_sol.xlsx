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ing\Desktop\theorems\teaching\math196_winter_2026\"/>
    </mc:Choice>
  </mc:AlternateContent>
  <xr:revisionPtr revIDLastSave="0" documentId="13_ncr:1_{6AFBFD22-72E2-4933-98B2-44FDEDE5078D}" xr6:coauthVersionLast="47" xr6:coauthVersionMax="47" xr10:uidLastSave="{00000000-0000-0000-0000-000000000000}"/>
  <bookViews>
    <workbookView xWindow="-110" yWindow="-110" windowWidth="19420" windowHeight="10420" xr2:uid="{16197D43-8831-4364-8EC0-85EE095A1CB3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5" l="1" a="1"/>
  <c r="K18" i="5" s="1"/>
  <c r="F31" i="5"/>
  <c r="F30" i="5"/>
  <c r="F29" i="5"/>
  <c r="F28" i="5"/>
  <c r="F27" i="5"/>
  <c r="F26" i="5"/>
  <c r="F25" i="5"/>
  <c r="F24" i="5"/>
  <c r="B24" i="5" a="1"/>
  <c r="B24" i="5" s="1"/>
  <c r="O13" i="5" a="1"/>
  <c r="O13" i="5" s="1"/>
  <c r="K13" i="5" a="1"/>
  <c r="K13" i="5" s="1"/>
  <c r="B13" i="5" a="1"/>
  <c r="B13" i="5" s="1"/>
  <c r="G4" i="5"/>
  <c r="G5" i="5"/>
  <c r="G6" i="5"/>
  <c r="G7" i="5"/>
  <c r="G8" i="5"/>
  <c r="G9" i="5"/>
  <c r="G10" i="5"/>
  <c r="G3" i="5"/>
  <c r="O18" i="5" l="1" a="1"/>
  <c r="O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<sst xmlns="http://schemas.openxmlformats.org/spreadsheetml/2006/main" count="16" uniqueCount="13">
  <si>
    <t>hw</t>
  </si>
  <si>
    <t>m</t>
  </si>
  <si>
    <t>f</t>
  </si>
  <si>
    <t>fgl</t>
  </si>
  <si>
    <t>fgh</t>
  </si>
  <si>
    <t>fgm</t>
  </si>
  <si>
    <t>at</t>
  </si>
  <si>
    <t>ata</t>
  </si>
  <si>
    <t>inv</t>
  </si>
  <si>
    <t>atb</t>
  </si>
  <si>
    <t>weightguesses</t>
  </si>
  <si>
    <t>myguesses</t>
  </si>
  <si>
    <t>finalgradesguess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</si>
</sst>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F7FB-6B5F-4C98-AEA2-E84362140633}">
  <dimension ref="B2:Q31"/>
  <sheetViews>
    <sheetView tabSelected="1" topLeftCell="A18" workbookViewId="0">
      <selection activeCell="H27" sqref="H27"/>
    </sheetView>
  </sheetViews>
  <sheetFormatPr defaultRowHeight="14.5" x14ac:dyDescent="0.35"/>
  <sheetData>
    <row r="2" spans="2:17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17" x14ac:dyDescent="0.35">
      <c r="B3">
        <v>94</v>
      </c>
      <c r="C3">
        <v>86</v>
      </c>
      <c r="D3">
        <v>97</v>
      </c>
      <c r="E3">
        <v>93</v>
      </c>
      <c r="F3">
        <v>100</v>
      </c>
      <c r="G3">
        <f>(E3+F3)/2</f>
        <v>96.5</v>
      </c>
    </row>
    <row r="4" spans="2:17" x14ac:dyDescent="0.35">
      <c r="B4">
        <v>71</v>
      </c>
      <c r="C4">
        <v>57</v>
      </c>
      <c r="D4">
        <v>71</v>
      </c>
      <c r="E4">
        <v>66</v>
      </c>
      <c r="F4">
        <v>71</v>
      </c>
      <c r="G4">
        <f t="shared" ref="G4:G10" si="0">(E4+F4)/2</f>
        <v>68.5</v>
      </c>
    </row>
    <row r="5" spans="2:17" x14ac:dyDescent="0.35">
      <c r="B5">
        <v>96</v>
      </c>
      <c r="C5">
        <v>94</v>
      </c>
      <c r="D5">
        <v>98</v>
      </c>
      <c r="E5">
        <v>93</v>
      </c>
      <c r="F5">
        <v>100</v>
      </c>
      <c r="G5">
        <f t="shared" si="0"/>
        <v>96.5</v>
      </c>
    </row>
    <row r="6" spans="2:17" x14ac:dyDescent="0.35">
      <c r="B6">
        <v>74</v>
      </c>
      <c r="C6">
        <v>66</v>
      </c>
      <c r="D6">
        <v>100</v>
      </c>
      <c r="E6">
        <v>83</v>
      </c>
      <c r="F6">
        <v>88</v>
      </c>
      <c r="G6">
        <f t="shared" si="0"/>
        <v>85.5</v>
      </c>
    </row>
    <row r="7" spans="2:17" x14ac:dyDescent="0.35">
      <c r="B7">
        <v>100</v>
      </c>
      <c r="C7">
        <v>100</v>
      </c>
      <c r="D7">
        <v>100</v>
      </c>
      <c r="E7">
        <v>93</v>
      </c>
      <c r="F7">
        <v>100</v>
      </c>
      <c r="G7">
        <f t="shared" si="0"/>
        <v>96.5</v>
      </c>
    </row>
    <row r="8" spans="2:17" x14ac:dyDescent="0.35">
      <c r="B8">
        <v>75</v>
      </c>
      <c r="C8">
        <v>26</v>
      </c>
      <c r="D8">
        <v>63</v>
      </c>
      <c r="E8">
        <v>50</v>
      </c>
      <c r="F8">
        <v>56</v>
      </c>
      <c r="G8">
        <f t="shared" si="0"/>
        <v>53</v>
      </c>
    </row>
    <row r="9" spans="2:17" x14ac:dyDescent="0.35">
      <c r="B9">
        <v>100</v>
      </c>
      <c r="C9">
        <v>100</v>
      </c>
      <c r="D9">
        <v>86</v>
      </c>
      <c r="E9">
        <v>88</v>
      </c>
      <c r="F9">
        <v>93</v>
      </c>
      <c r="G9">
        <f t="shared" si="0"/>
        <v>90.5</v>
      </c>
    </row>
    <row r="10" spans="2:17" x14ac:dyDescent="0.35">
      <c r="B10">
        <v>98</v>
      </c>
      <c r="C10">
        <v>33</v>
      </c>
      <c r="D10">
        <v>77</v>
      </c>
      <c r="E10">
        <v>61</v>
      </c>
      <c r="F10">
        <v>66</v>
      </c>
      <c r="G10">
        <f t="shared" si="0"/>
        <v>63.5</v>
      </c>
    </row>
    <row r="12" spans="2:17" x14ac:dyDescent="0.35">
      <c r="B12" t="s">
        <v>6</v>
      </c>
      <c r="K12" t="s">
        <v>7</v>
      </c>
      <c r="O12" t="s">
        <v>8</v>
      </c>
    </row>
    <row r="13" spans="2:17" x14ac:dyDescent="0.35">
      <c r="B13" cm="1">
        <f t="array" ref="B13:I15">TRANSPOSE(B3:D10)</f>
        <v>94</v>
      </c>
      <c r="C13">
        <v>71</v>
      </c>
      <c r="D13">
        <v>96</v>
      </c>
      <c r="E13">
        <v>74</v>
      </c>
      <c r="F13">
        <v>100</v>
      </c>
      <c r="G13">
        <v>75</v>
      </c>
      <c r="H13">
        <v>100</v>
      </c>
      <c r="I13">
        <v>98</v>
      </c>
      <c r="K13" cm="1">
        <f t="array" ref="K13:M15">MMULT(_xlfn.ANCHORARRAY(B13),B3:D10)</f>
        <v>63798</v>
      </c>
      <c r="L13">
        <v>51223</v>
      </c>
      <c r="M13">
        <v>61838</v>
      </c>
      <c r="O13" cm="1">
        <f t="array" ref="O13:Q15">MINVERSE(_xlfn.ANCHORARRAY(K13))</f>
        <v>6.8598387220978902E-4</v>
      </c>
      <c r="P13">
        <v>3.4786425619076369E-5</v>
      </c>
      <c r="Q13">
        <v>-7.2037038970739799E-4</v>
      </c>
    </row>
    <row r="14" spans="2:17" x14ac:dyDescent="0.35">
      <c r="B14">
        <v>86</v>
      </c>
      <c r="C14">
        <v>57</v>
      </c>
      <c r="D14">
        <v>94</v>
      </c>
      <c r="E14">
        <v>66</v>
      </c>
      <c r="F14">
        <v>100</v>
      </c>
      <c r="G14">
        <v>26</v>
      </c>
      <c r="H14">
        <v>100</v>
      </c>
      <c r="I14">
        <v>33</v>
      </c>
      <c r="K14">
        <v>51223</v>
      </c>
      <c r="L14">
        <v>45602</v>
      </c>
      <c r="M14">
        <v>50980</v>
      </c>
      <c r="O14">
        <v>3.4786425619076315E-5</v>
      </c>
      <c r="P14">
        <v>3.1061798603277118E-4</v>
      </c>
      <c r="Q14">
        <v>-2.9318686697827343E-4</v>
      </c>
    </row>
    <row r="15" spans="2:17" x14ac:dyDescent="0.35">
      <c r="B15">
        <v>97</v>
      </c>
      <c r="C15">
        <v>71</v>
      </c>
      <c r="D15">
        <v>98</v>
      </c>
      <c r="E15">
        <v>100</v>
      </c>
      <c r="F15">
        <v>100</v>
      </c>
      <c r="G15">
        <v>63</v>
      </c>
      <c r="H15">
        <v>86</v>
      </c>
      <c r="I15">
        <v>77</v>
      </c>
      <c r="K15">
        <v>61838</v>
      </c>
      <c r="L15">
        <v>50980</v>
      </c>
      <c r="M15">
        <v>61348</v>
      </c>
      <c r="O15">
        <v>-7.2037038970739788E-4</v>
      </c>
      <c r="P15">
        <v>-2.9318686697827343E-4</v>
      </c>
      <c r="Q15">
        <v>9.8606198469841644E-4</v>
      </c>
    </row>
    <row r="17" spans="2:17" x14ac:dyDescent="0.35">
      <c r="K17" t="s">
        <v>9</v>
      </c>
      <c r="O17" t="s">
        <v>10</v>
      </c>
    </row>
    <row r="18" spans="2:17" x14ac:dyDescent="0.35">
      <c r="B18" t="s">
        <v>11</v>
      </c>
      <c r="K18" cm="1">
        <f t="array" ref="K18:M20">MMULT(_xlfn.ANCHORARRAY(B13),E3:G10)</f>
        <v>56326</v>
      </c>
      <c r="L18">
        <v>60521</v>
      </c>
      <c r="M18">
        <v>58423.5</v>
      </c>
      <c r="O18" cm="1">
        <f t="array" ref="O18:Q20">MMULT(_xlfn.ANCHORARRAY(O13),_xlfn.ANCHORARRAY(K18))</f>
        <v>6.4759575751189402E-2</v>
      </c>
      <c r="P18">
        <v>9.7713208207103719E-2</v>
      </c>
      <c r="Q18">
        <v>8.1236391979146561E-2</v>
      </c>
    </row>
    <row r="19" spans="2:17" x14ac:dyDescent="0.35">
      <c r="B19">
        <v>0.05</v>
      </c>
      <c r="K19">
        <v>47393</v>
      </c>
      <c r="L19">
        <v>50789</v>
      </c>
      <c r="M19">
        <v>49091</v>
      </c>
      <c r="O19">
        <v>0.31011651687234121</v>
      </c>
      <c r="P19">
        <v>0.30502666903002051</v>
      </c>
      <c r="Q19">
        <v>0.30757159295118086</v>
      </c>
    </row>
    <row r="20" spans="2:17" x14ac:dyDescent="0.35">
      <c r="B20">
        <v>0.35</v>
      </c>
      <c r="K20">
        <v>55836</v>
      </c>
      <c r="L20">
        <v>59949</v>
      </c>
      <c r="M20">
        <v>57892.5</v>
      </c>
      <c r="O20">
        <v>0.58716922026057716</v>
      </c>
      <c r="P20">
        <v>0.62522577824442038</v>
      </c>
      <c r="Q20">
        <v>0.60619749925249522</v>
      </c>
    </row>
    <row r="21" spans="2:17" x14ac:dyDescent="0.35">
      <c r="B21">
        <v>0.6</v>
      </c>
    </row>
    <row r="23" spans="2:17" x14ac:dyDescent="0.35">
      <c r="B23" t="s">
        <v>12</v>
      </c>
      <c r="D23" t="s">
        <v>3</v>
      </c>
      <c r="E23" t="s">
        <v>4</v>
      </c>
      <c r="F23" t="s">
        <v>5</v>
      </c>
    </row>
    <row r="24" spans="2:17" x14ac:dyDescent="0.35">
      <c r="B24" cm="1">
        <f t="array" ref="B24:B31">MMULT(B3:D10,B19:B21)</f>
        <v>93</v>
      </c>
      <c r="D24">
        <v>93</v>
      </c>
      <c r="E24">
        <v>100</v>
      </c>
      <c r="F24">
        <f>(D24+E24)/2</f>
        <v>96.5</v>
      </c>
    </row>
    <row r="25" spans="2:17" x14ac:dyDescent="0.35">
      <c r="B25">
        <v>66.099999999999994</v>
      </c>
      <c r="D25">
        <v>66</v>
      </c>
      <c r="E25">
        <v>71</v>
      </c>
      <c r="F25">
        <f t="shared" ref="F25:F31" si="1">(D25+E25)/2</f>
        <v>68.5</v>
      </c>
    </row>
    <row r="26" spans="2:17" x14ac:dyDescent="0.35">
      <c r="B26">
        <v>96.5</v>
      </c>
      <c r="D26">
        <v>93</v>
      </c>
      <c r="E26">
        <v>100</v>
      </c>
      <c r="F26">
        <f t="shared" si="1"/>
        <v>96.5</v>
      </c>
    </row>
    <row r="27" spans="2:17" x14ac:dyDescent="0.35">
      <c r="B27">
        <v>86.8</v>
      </c>
      <c r="D27">
        <v>83</v>
      </c>
      <c r="E27">
        <v>88</v>
      </c>
      <c r="F27">
        <f t="shared" si="1"/>
        <v>85.5</v>
      </c>
    </row>
    <row r="28" spans="2:17" x14ac:dyDescent="0.35">
      <c r="B28">
        <v>100</v>
      </c>
      <c r="D28">
        <v>93</v>
      </c>
      <c r="E28">
        <v>100</v>
      </c>
      <c r="F28">
        <f t="shared" si="1"/>
        <v>96.5</v>
      </c>
    </row>
    <row r="29" spans="2:17" x14ac:dyDescent="0.35">
      <c r="B29">
        <v>50.65</v>
      </c>
      <c r="D29">
        <v>50</v>
      </c>
      <c r="E29">
        <v>56</v>
      </c>
      <c r="F29">
        <f t="shared" si="1"/>
        <v>53</v>
      </c>
    </row>
    <row r="30" spans="2:17" x14ac:dyDescent="0.35">
      <c r="B30">
        <v>91.6</v>
      </c>
      <c r="D30">
        <v>88</v>
      </c>
      <c r="E30">
        <v>93</v>
      </c>
      <c r="F30">
        <f t="shared" si="1"/>
        <v>90.5</v>
      </c>
    </row>
    <row r="31" spans="2:17" x14ac:dyDescent="0.35">
      <c r="B31">
        <v>62.649999999999991</v>
      </c>
      <c r="D31">
        <v>61</v>
      </c>
      <c r="E31">
        <v>66</v>
      </c>
      <c r="F31">
        <f t="shared" si="1"/>
        <v>63.5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Robly 18</dc:creator>
  <cp:lastModifiedBy>Robly 18</cp:lastModifiedBy>
  <dcterms:created xsi:type="dcterms:W3CDTF">2026-01-02T22:25:55Z</dcterms:created>
  <dcterms:modified xsi:type="dcterms:W3CDTF">2026-03-05T06:25:46Z</dcterms:modified>
</cp:coreProperties>
</file>