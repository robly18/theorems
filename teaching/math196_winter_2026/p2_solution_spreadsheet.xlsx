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ming\Desktop\theorems\teaching\math196_winter_2026\"/>
    </mc:Choice>
  </mc:AlternateContent>
  <xr:revisionPtr revIDLastSave="0" documentId="13_ncr:1_{6759FA2B-9EB0-4926-81CC-3A0F4695438A}" xr6:coauthVersionLast="47" xr6:coauthVersionMax="47" xr10:uidLastSave="{00000000-0000-0000-0000-000000000000}"/>
  <bookViews>
    <workbookView xWindow="-110" yWindow="-110" windowWidth="19420" windowHeight="10420" activeTab="1" xr2:uid="{16197D43-8831-4364-8EC0-85EE095A1CB3}"/>
  </bookViews>
  <sheets>
    <sheet name="Audio Data" sheetId="5" r:id="rId1"/>
    <sheet name="work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5" i="6" l="1"/>
  <c r="AU25" i="6"/>
  <c r="AV25" i="6"/>
  <c r="AT26" i="6"/>
  <c r="AU26" i="6"/>
  <c r="AV26" i="6"/>
  <c r="AT27" i="6"/>
  <c r="AU27" i="6"/>
  <c r="AV27" i="6"/>
  <c r="AT28" i="6"/>
  <c r="AU28" i="6"/>
  <c r="AV28" i="6"/>
  <c r="AT29" i="6"/>
  <c r="AU29" i="6"/>
  <c r="AV29" i="6"/>
  <c r="AT30" i="6"/>
  <c r="AU30" i="6"/>
  <c r="AV30" i="6"/>
  <c r="AT31" i="6"/>
  <c r="AU31" i="6"/>
  <c r="AV31" i="6"/>
  <c r="AT32" i="6"/>
  <c r="AU32" i="6"/>
  <c r="AV32" i="6"/>
  <c r="AT33" i="6"/>
  <c r="AU33" i="6"/>
  <c r="AV33" i="6"/>
  <c r="AT34" i="6"/>
  <c r="AU34" i="6"/>
  <c r="AV34" i="6"/>
  <c r="AT35" i="6"/>
  <c r="AU35" i="6"/>
  <c r="AV35" i="6"/>
  <c r="AT36" i="6"/>
  <c r="AU36" i="6"/>
  <c r="AV36" i="6"/>
  <c r="AT37" i="6"/>
  <c r="AU37" i="6"/>
  <c r="AV37" i="6"/>
  <c r="AT38" i="6"/>
  <c r="AU38" i="6"/>
  <c r="AV38" i="6"/>
  <c r="AT39" i="6"/>
  <c r="AU39" i="6"/>
  <c r="AV39" i="6"/>
  <c r="AT40" i="6"/>
  <c r="AU40" i="6"/>
  <c r="AV40" i="6"/>
  <c r="AT41" i="6"/>
  <c r="AU41" i="6"/>
  <c r="AV41" i="6"/>
  <c r="AT42" i="6"/>
  <c r="AU42" i="6"/>
  <c r="AV42" i="6"/>
  <c r="AU24" i="6"/>
  <c r="AV24" i="6"/>
  <c r="AT24" i="6"/>
  <c r="AP24" i="6" a="1"/>
  <c r="AP24" i="6" s="1"/>
  <c r="AL24" i="6" a="1"/>
  <c r="AL24" i="6" s="1"/>
  <c r="U24" i="6" a="1"/>
  <c r="U24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<sst xmlns="http://schemas.openxmlformats.org/spreadsheetml/2006/main" count="9" uniqueCount="9">
  <si>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Audio Library Snippets:</t>
  </si>
  <si>
    <t>abc1.wav</t>
  </si>
  <si>
    <t>abc2.wav</t>
  </si>
  <si>
    <t>abc3.wav</t>
  </si>
  <si>
    <t>latte.wav</t>
  </si>
  <si>
    <t>Audio Snippets</t>
  </si>
  <si>
    <t>good.wav</t>
  </si>
  <si>
    <t>bad.wav</t>
  </si>
  <si>
    <t>sample.wav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</si>
</sst>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2" xfId="0" applyFill="1" applyBorder="1"/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B9AE9-C406-4A85-A6AA-896329BFC5C6}">
  <dimension ref="A1:K20"/>
  <sheetViews>
    <sheetView topLeftCell="A12" workbookViewId="0">
      <selection activeCell="I2" sqref="I2:K20"/>
    </sheetView>
  </sheetViews>
  <sheetFormatPr defaultRowHeight="14.5" x14ac:dyDescent="0.35"/>
  <cols>
    <col min="1" max="1" width="20" customWidth="1"/>
    <col min="8" max="8" width="13.54296875" customWidth="1"/>
    <col min="11" max="11" width="10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5">
      <c r="B2" s="1">
        <v>99</v>
      </c>
      <c r="C2" s="7">
        <v>34</v>
      </c>
      <c r="D2" s="4">
        <v>63</v>
      </c>
      <c r="F2" s="7">
        <v>49</v>
      </c>
      <c r="I2" s="1">
        <v>118.8</v>
      </c>
      <c r="J2" s="7">
        <v>53.4</v>
      </c>
      <c r="K2" s="4">
        <v>84.100000000000009</v>
      </c>
    </row>
    <row r="3" spans="1:11" x14ac:dyDescent="0.35">
      <c r="B3" s="2">
        <v>143</v>
      </c>
      <c r="C3" s="8">
        <v>127</v>
      </c>
      <c r="D3" s="5">
        <v>167</v>
      </c>
      <c r="F3" s="8">
        <v>87</v>
      </c>
      <c r="I3" s="2">
        <v>270.60000000000002</v>
      </c>
      <c r="J3" s="8">
        <v>155.69999999999999</v>
      </c>
      <c r="K3" s="5">
        <v>136.19999999999999</v>
      </c>
    </row>
    <row r="4" spans="1:11" x14ac:dyDescent="0.35">
      <c r="B4" s="2">
        <v>42</v>
      </c>
      <c r="C4" s="8">
        <v>172</v>
      </c>
      <c r="D4" s="5">
        <v>-2</v>
      </c>
      <c r="F4" s="8">
        <v>43</v>
      </c>
      <c r="I4" s="2">
        <v>292.39999999999998</v>
      </c>
      <c r="J4" s="8">
        <v>207.70000000000002</v>
      </c>
      <c r="K4" s="5">
        <v>80</v>
      </c>
    </row>
    <row r="5" spans="1:11" x14ac:dyDescent="0.35">
      <c r="B5" s="2">
        <v>-82</v>
      </c>
      <c r="C5" s="8">
        <v>335</v>
      </c>
      <c r="D5" s="5">
        <v>38</v>
      </c>
      <c r="F5" s="8">
        <v>18</v>
      </c>
      <c r="I5" s="2">
        <v>185.60000000000002</v>
      </c>
      <c r="J5" s="8">
        <v>390.09999999999997</v>
      </c>
      <c r="K5" s="5">
        <v>63.399999999999991</v>
      </c>
    </row>
    <row r="6" spans="1:11" x14ac:dyDescent="0.35">
      <c r="B6" s="2">
        <v>-283</v>
      </c>
      <c r="C6" s="8">
        <v>335</v>
      </c>
      <c r="D6" s="5">
        <v>-284</v>
      </c>
      <c r="F6" s="8">
        <v>-88</v>
      </c>
      <c r="I6" s="2">
        <v>-171.59999999999997</v>
      </c>
      <c r="J6" s="8">
        <v>218.7</v>
      </c>
      <c r="K6" s="5">
        <v>461.3</v>
      </c>
    </row>
    <row r="7" spans="1:11" x14ac:dyDescent="0.35">
      <c r="B7" s="2">
        <v>-328</v>
      </c>
      <c r="C7" s="8">
        <v>439</v>
      </c>
      <c r="D7" s="5">
        <v>-151</v>
      </c>
      <c r="F7" s="8">
        <v>-92</v>
      </c>
      <c r="I7" s="2">
        <v>-700.59999999999991</v>
      </c>
      <c r="J7" s="8">
        <v>461.40000000000003</v>
      </c>
      <c r="K7" s="5">
        <v>698.99999999999989</v>
      </c>
    </row>
    <row r="8" spans="1:11" x14ac:dyDescent="0.35">
      <c r="B8" s="2">
        <v>-350</v>
      </c>
      <c r="C8" s="8">
        <v>282</v>
      </c>
      <c r="D8" s="5">
        <v>-394</v>
      </c>
      <c r="F8" s="8">
        <v>-150</v>
      </c>
      <c r="I8" s="2">
        <v>-1243</v>
      </c>
      <c r="J8" s="8">
        <v>-347.8</v>
      </c>
      <c r="K8" s="5">
        <v>323.8</v>
      </c>
    </row>
    <row r="9" spans="1:11" x14ac:dyDescent="0.35">
      <c r="B9" s="2">
        <v>-175</v>
      </c>
      <c r="C9" s="8">
        <v>250</v>
      </c>
      <c r="D9" s="5">
        <v>-75</v>
      </c>
      <c r="F9" s="8">
        <v>-75</v>
      </c>
      <c r="I9" s="2">
        <v>-1588</v>
      </c>
      <c r="J9" s="8">
        <v>-114.39999999999998</v>
      </c>
      <c r="K9" s="5">
        <v>211.39999999999998</v>
      </c>
    </row>
    <row r="10" spans="1:11" x14ac:dyDescent="0.35">
      <c r="B10" s="2">
        <v>-61</v>
      </c>
      <c r="C10" s="8">
        <v>-18</v>
      </c>
      <c r="D10" s="5">
        <v>-214</v>
      </c>
      <c r="F10" s="8">
        <v>-80</v>
      </c>
      <c r="I10" s="2">
        <v>-1544.2</v>
      </c>
      <c r="J10" s="8">
        <v>-1064.4000000000001</v>
      </c>
      <c r="K10" s="5">
        <v>-563.20000000000005</v>
      </c>
    </row>
    <row r="11" spans="1:11" x14ac:dyDescent="0.35">
      <c r="B11" s="2">
        <v>113</v>
      </c>
      <c r="C11" s="8">
        <v>-85</v>
      </c>
      <c r="D11" s="5">
        <v>120</v>
      </c>
      <c r="F11" s="8">
        <v>8</v>
      </c>
      <c r="I11" s="2">
        <v>-1217.4000000000001</v>
      </c>
      <c r="J11" s="8">
        <v>-423.7</v>
      </c>
      <c r="K11" s="5">
        <v>-393.2</v>
      </c>
    </row>
    <row r="12" spans="1:11" x14ac:dyDescent="0.35">
      <c r="B12" s="2">
        <v>114</v>
      </c>
      <c r="C12" s="8">
        <v>-290</v>
      </c>
      <c r="D12" s="5">
        <v>-51</v>
      </c>
      <c r="F12" s="8">
        <v>-17</v>
      </c>
      <c r="I12" s="2">
        <v>-618.20000000000005</v>
      </c>
      <c r="J12" s="8">
        <v>-1067.6000000000001</v>
      </c>
      <c r="K12" s="5">
        <v>-874.5</v>
      </c>
    </row>
    <row r="13" spans="1:11" x14ac:dyDescent="0.35">
      <c r="B13" s="2">
        <v>118</v>
      </c>
      <c r="C13" s="8">
        <v>-265</v>
      </c>
      <c r="D13" s="5">
        <v>138</v>
      </c>
      <c r="F13" s="8">
        <v>18</v>
      </c>
      <c r="I13" s="2">
        <v>-117.39999999999998</v>
      </c>
      <c r="J13" s="8">
        <v>-91.7</v>
      </c>
      <c r="K13" s="5">
        <v>-198.49999999999994</v>
      </c>
    </row>
    <row r="14" spans="1:11" x14ac:dyDescent="0.35">
      <c r="B14" s="2">
        <v>15</v>
      </c>
      <c r="C14" s="8">
        <v>-312</v>
      </c>
      <c r="D14" s="5">
        <v>-51</v>
      </c>
      <c r="F14" s="8">
        <v>-28</v>
      </c>
      <c r="I14" s="2">
        <v>320</v>
      </c>
      <c r="J14" s="8">
        <v>-566.5</v>
      </c>
      <c r="K14" s="5">
        <v>-498.90000000000003</v>
      </c>
    </row>
    <row r="15" spans="1:11" x14ac:dyDescent="0.35">
      <c r="B15" s="2">
        <v>-16</v>
      </c>
      <c r="C15" s="8">
        <v>-197</v>
      </c>
      <c r="D15" s="5">
        <v>37</v>
      </c>
      <c r="F15" s="8">
        <v>-13</v>
      </c>
      <c r="I15" s="2">
        <v>425.8</v>
      </c>
      <c r="J15" s="8">
        <v>251.29999999999998</v>
      </c>
      <c r="K15" s="5">
        <v>99.2</v>
      </c>
    </row>
    <row r="16" spans="1:11" x14ac:dyDescent="0.35">
      <c r="B16" s="3">
        <v>-37</v>
      </c>
      <c r="C16" s="9">
        <v>-125</v>
      </c>
      <c r="D16" s="6">
        <v>-40</v>
      </c>
      <c r="F16" s="8">
        <v>-22</v>
      </c>
      <c r="I16" s="2">
        <v>476.6</v>
      </c>
      <c r="J16" s="8">
        <v>-244.29999999999998</v>
      </c>
      <c r="K16" s="5">
        <v>-439.4</v>
      </c>
    </row>
    <row r="17" spans="6:11" x14ac:dyDescent="0.35">
      <c r="F17" s="8">
        <v>0</v>
      </c>
      <c r="I17" s="2">
        <v>345</v>
      </c>
      <c r="J17" s="8">
        <v>228</v>
      </c>
      <c r="K17" s="5">
        <v>-188.60000000000002</v>
      </c>
    </row>
    <row r="18" spans="6:11" x14ac:dyDescent="0.35">
      <c r="F18" s="8">
        <v>22</v>
      </c>
      <c r="I18" s="2">
        <v>274</v>
      </c>
      <c r="J18" s="8">
        <v>-169.8</v>
      </c>
      <c r="K18" s="5">
        <v>-719.09999999999991</v>
      </c>
    </row>
    <row r="19" spans="6:11" x14ac:dyDescent="0.35">
      <c r="F19" s="8">
        <v>13</v>
      </c>
      <c r="I19" s="2">
        <v>144</v>
      </c>
      <c r="J19" s="8">
        <v>75.3</v>
      </c>
      <c r="K19" s="5">
        <v>-435.59999999999997</v>
      </c>
    </row>
    <row r="20" spans="6:11" x14ac:dyDescent="0.35">
      <c r="F20" s="9">
        <v>28</v>
      </c>
      <c r="I20" s="3">
        <v>88</v>
      </c>
      <c r="J20" s="9">
        <v>-77.2</v>
      </c>
      <c r="K20" s="6">
        <v>-401.2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AEA7-88BB-4EBD-9915-E5A501A1925A}">
  <dimension ref="A2:AV42"/>
  <sheetViews>
    <sheetView tabSelected="1" topLeftCell="AE22" workbookViewId="0">
      <selection activeCell="AX34" sqref="AX34"/>
    </sheetView>
  </sheetViews>
  <sheetFormatPr defaultRowHeight="14.5" x14ac:dyDescent="0.35"/>
  <cols>
    <col min="38" max="38" width="11.81640625" bestFit="1" customWidth="1"/>
    <col min="46" max="46" width="11.81640625" bestFit="1" customWidth="1"/>
  </cols>
  <sheetData>
    <row r="2" spans="1:21" x14ac:dyDescent="0.35">
      <c r="A2" s="7">
        <v>49</v>
      </c>
      <c r="B2" s="1">
        <v>99</v>
      </c>
      <c r="C2" s="7">
        <v>34</v>
      </c>
      <c r="D2" s="4">
        <v>63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S2" s="1">
        <v>118.8</v>
      </c>
      <c r="T2" s="7">
        <v>53.4</v>
      </c>
      <c r="U2" s="4">
        <v>84.100000000000009</v>
      </c>
    </row>
    <row r="3" spans="1:21" x14ac:dyDescent="0.35">
      <c r="A3" s="8">
        <v>87</v>
      </c>
      <c r="B3" s="2">
        <v>143</v>
      </c>
      <c r="C3" s="8">
        <v>127</v>
      </c>
      <c r="D3" s="5">
        <v>167</v>
      </c>
      <c r="E3" s="1">
        <v>99</v>
      </c>
      <c r="F3" s="7">
        <v>34</v>
      </c>
      <c r="G3" s="4">
        <v>63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S3" s="2">
        <v>270.60000000000002</v>
      </c>
      <c r="T3" s="8">
        <v>155.69999999999999</v>
      </c>
      <c r="U3" s="5">
        <v>136.19999999999999</v>
      </c>
    </row>
    <row r="4" spans="1:21" x14ac:dyDescent="0.35">
      <c r="A4" s="8">
        <v>43</v>
      </c>
      <c r="B4" s="2">
        <v>42</v>
      </c>
      <c r="C4" s="8">
        <v>172</v>
      </c>
      <c r="D4" s="5">
        <v>-2</v>
      </c>
      <c r="E4" s="2">
        <v>143</v>
      </c>
      <c r="F4" s="8">
        <v>127</v>
      </c>
      <c r="G4" s="5">
        <v>167</v>
      </c>
      <c r="H4" s="1">
        <v>99</v>
      </c>
      <c r="I4" s="7">
        <v>34</v>
      </c>
      <c r="J4" s="4">
        <v>63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S4" s="2">
        <v>292.39999999999998</v>
      </c>
      <c r="T4" s="8">
        <v>207.70000000000002</v>
      </c>
      <c r="U4" s="5">
        <v>80</v>
      </c>
    </row>
    <row r="5" spans="1:21" x14ac:dyDescent="0.35">
      <c r="A5" s="8">
        <v>18</v>
      </c>
      <c r="B5" s="2">
        <v>-82</v>
      </c>
      <c r="C5" s="8">
        <v>335</v>
      </c>
      <c r="D5" s="5">
        <v>38</v>
      </c>
      <c r="E5" s="2">
        <v>42</v>
      </c>
      <c r="F5" s="8">
        <v>172</v>
      </c>
      <c r="G5" s="5">
        <v>-2</v>
      </c>
      <c r="H5" s="2">
        <v>143</v>
      </c>
      <c r="I5" s="8">
        <v>127</v>
      </c>
      <c r="J5" s="5">
        <v>167</v>
      </c>
      <c r="K5" s="1">
        <v>99</v>
      </c>
      <c r="L5" s="7">
        <v>34</v>
      </c>
      <c r="M5" s="4">
        <v>63</v>
      </c>
      <c r="N5" s="11">
        <v>0</v>
      </c>
      <c r="O5" s="11">
        <v>0</v>
      </c>
      <c r="P5" s="11">
        <v>0</v>
      </c>
      <c r="S5" s="2">
        <v>185.60000000000002</v>
      </c>
      <c r="T5" s="8">
        <v>390.09999999999997</v>
      </c>
      <c r="U5" s="5">
        <v>63.399999999999991</v>
      </c>
    </row>
    <row r="6" spans="1:21" x14ac:dyDescent="0.35">
      <c r="A6" s="8">
        <v>-88</v>
      </c>
      <c r="B6" s="2">
        <v>-283</v>
      </c>
      <c r="C6" s="8">
        <v>335</v>
      </c>
      <c r="D6" s="5">
        <v>-284</v>
      </c>
      <c r="E6" s="2">
        <v>-82</v>
      </c>
      <c r="F6" s="8">
        <v>335</v>
      </c>
      <c r="G6" s="5">
        <v>38</v>
      </c>
      <c r="H6" s="2">
        <v>42</v>
      </c>
      <c r="I6" s="8">
        <v>172</v>
      </c>
      <c r="J6" s="5">
        <v>-2</v>
      </c>
      <c r="K6" s="2">
        <v>143</v>
      </c>
      <c r="L6" s="8">
        <v>127</v>
      </c>
      <c r="M6" s="5">
        <v>167</v>
      </c>
      <c r="N6" s="1">
        <v>99</v>
      </c>
      <c r="O6" s="7">
        <v>34</v>
      </c>
      <c r="P6" s="4">
        <v>63</v>
      </c>
      <c r="S6" s="2">
        <v>-171.59999999999997</v>
      </c>
      <c r="T6" s="8">
        <v>218.7</v>
      </c>
      <c r="U6" s="5">
        <v>461.3</v>
      </c>
    </row>
    <row r="7" spans="1:21" x14ac:dyDescent="0.35">
      <c r="A7" s="8">
        <v>-92</v>
      </c>
      <c r="B7" s="2">
        <v>-328</v>
      </c>
      <c r="C7" s="8">
        <v>439</v>
      </c>
      <c r="D7" s="5">
        <v>-151</v>
      </c>
      <c r="E7" s="2">
        <v>-283</v>
      </c>
      <c r="F7" s="8">
        <v>335</v>
      </c>
      <c r="G7" s="5">
        <v>-284</v>
      </c>
      <c r="H7" s="2">
        <v>-82</v>
      </c>
      <c r="I7" s="8">
        <v>335</v>
      </c>
      <c r="J7" s="5">
        <v>38</v>
      </c>
      <c r="K7" s="2">
        <v>42</v>
      </c>
      <c r="L7" s="8">
        <v>172</v>
      </c>
      <c r="M7" s="5">
        <v>-2</v>
      </c>
      <c r="N7" s="2">
        <v>143</v>
      </c>
      <c r="O7" s="8">
        <v>127</v>
      </c>
      <c r="P7" s="5">
        <v>167</v>
      </c>
      <c r="S7" s="2">
        <v>-700.59999999999991</v>
      </c>
      <c r="T7" s="8">
        <v>461.40000000000003</v>
      </c>
      <c r="U7" s="5">
        <v>698.99999999999989</v>
      </c>
    </row>
    <row r="8" spans="1:21" x14ac:dyDescent="0.35">
      <c r="A8" s="8">
        <v>-150</v>
      </c>
      <c r="B8" s="2">
        <v>-350</v>
      </c>
      <c r="C8" s="8">
        <v>282</v>
      </c>
      <c r="D8" s="5">
        <v>-394</v>
      </c>
      <c r="E8" s="2">
        <v>-328</v>
      </c>
      <c r="F8" s="8">
        <v>439</v>
      </c>
      <c r="G8" s="5">
        <v>-151</v>
      </c>
      <c r="H8" s="2">
        <v>-283</v>
      </c>
      <c r="I8" s="8">
        <v>335</v>
      </c>
      <c r="J8" s="5">
        <v>-284</v>
      </c>
      <c r="K8" s="2">
        <v>-82</v>
      </c>
      <c r="L8" s="8">
        <v>335</v>
      </c>
      <c r="M8" s="5">
        <v>38</v>
      </c>
      <c r="N8" s="2">
        <v>42</v>
      </c>
      <c r="O8" s="8">
        <v>172</v>
      </c>
      <c r="P8" s="5">
        <v>-2</v>
      </c>
      <c r="S8" s="2">
        <v>-1243</v>
      </c>
      <c r="T8" s="8">
        <v>-347.8</v>
      </c>
      <c r="U8" s="5">
        <v>323.8</v>
      </c>
    </row>
    <row r="9" spans="1:21" x14ac:dyDescent="0.35">
      <c r="A9" s="8">
        <v>-75</v>
      </c>
      <c r="B9" s="2">
        <v>-175</v>
      </c>
      <c r="C9" s="8">
        <v>250</v>
      </c>
      <c r="D9" s="5">
        <v>-75</v>
      </c>
      <c r="E9" s="2">
        <v>-350</v>
      </c>
      <c r="F9" s="8">
        <v>282</v>
      </c>
      <c r="G9" s="5">
        <v>-394</v>
      </c>
      <c r="H9" s="2">
        <v>-328</v>
      </c>
      <c r="I9" s="8">
        <v>439</v>
      </c>
      <c r="J9" s="5">
        <v>-151</v>
      </c>
      <c r="K9" s="2">
        <v>-283</v>
      </c>
      <c r="L9" s="8">
        <v>335</v>
      </c>
      <c r="M9" s="5">
        <v>-284</v>
      </c>
      <c r="N9" s="2">
        <v>-82</v>
      </c>
      <c r="O9" s="8">
        <v>335</v>
      </c>
      <c r="P9" s="5">
        <v>38</v>
      </c>
      <c r="S9" s="2">
        <v>-1588</v>
      </c>
      <c r="T9" s="8">
        <v>-114.39999999999998</v>
      </c>
      <c r="U9" s="5">
        <v>211.39999999999998</v>
      </c>
    </row>
    <row r="10" spans="1:21" x14ac:dyDescent="0.35">
      <c r="A10" s="8">
        <v>-80</v>
      </c>
      <c r="B10" s="2">
        <v>-61</v>
      </c>
      <c r="C10" s="8">
        <v>-18</v>
      </c>
      <c r="D10" s="5">
        <v>-214</v>
      </c>
      <c r="E10" s="2">
        <v>-175</v>
      </c>
      <c r="F10" s="8">
        <v>250</v>
      </c>
      <c r="G10" s="5">
        <v>-75</v>
      </c>
      <c r="H10" s="2">
        <v>-350</v>
      </c>
      <c r="I10" s="8">
        <v>282</v>
      </c>
      <c r="J10" s="5">
        <v>-394</v>
      </c>
      <c r="K10" s="2">
        <v>-328</v>
      </c>
      <c r="L10" s="8">
        <v>439</v>
      </c>
      <c r="M10" s="5">
        <v>-151</v>
      </c>
      <c r="N10" s="2">
        <v>-283</v>
      </c>
      <c r="O10" s="8">
        <v>335</v>
      </c>
      <c r="P10" s="5">
        <v>-284</v>
      </c>
      <c r="S10" s="2">
        <v>-1544.2</v>
      </c>
      <c r="T10" s="8">
        <v>-1064.4000000000001</v>
      </c>
      <c r="U10" s="5">
        <v>-563.20000000000005</v>
      </c>
    </row>
    <row r="11" spans="1:21" x14ac:dyDescent="0.35">
      <c r="A11" s="8">
        <v>8</v>
      </c>
      <c r="B11" s="2">
        <v>113</v>
      </c>
      <c r="C11" s="8">
        <v>-85</v>
      </c>
      <c r="D11" s="5">
        <v>120</v>
      </c>
      <c r="E11" s="2">
        <v>-61</v>
      </c>
      <c r="F11" s="8">
        <v>-18</v>
      </c>
      <c r="G11" s="5">
        <v>-214</v>
      </c>
      <c r="H11" s="2">
        <v>-175</v>
      </c>
      <c r="I11" s="8">
        <v>250</v>
      </c>
      <c r="J11" s="5">
        <v>-75</v>
      </c>
      <c r="K11" s="2">
        <v>-350</v>
      </c>
      <c r="L11" s="8">
        <v>282</v>
      </c>
      <c r="M11" s="5">
        <v>-394</v>
      </c>
      <c r="N11" s="2">
        <v>-328</v>
      </c>
      <c r="O11" s="8">
        <v>439</v>
      </c>
      <c r="P11" s="5">
        <v>-151</v>
      </c>
      <c r="S11" s="2">
        <v>-1217.4000000000001</v>
      </c>
      <c r="T11" s="8">
        <v>-423.7</v>
      </c>
      <c r="U11" s="5">
        <v>-393.2</v>
      </c>
    </row>
    <row r="12" spans="1:21" x14ac:dyDescent="0.35">
      <c r="A12" s="8">
        <v>-17</v>
      </c>
      <c r="B12" s="2">
        <v>114</v>
      </c>
      <c r="C12" s="8">
        <v>-290</v>
      </c>
      <c r="D12" s="5">
        <v>-51</v>
      </c>
      <c r="E12" s="2">
        <v>113</v>
      </c>
      <c r="F12" s="8">
        <v>-85</v>
      </c>
      <c r="G12" s="5">
        <v>120</v>
      </c>
      <c r="H12" s="2">
        <v>-61</v>
      </c>
      <c r="I12" s="8">
        <v>-18</v>
      </c>
      <c r="J12" s="5">
        <v>-214</v>
      </c>
      <c r="K12" s="2">
        <v>-175</v>
      </c>
      <c r="L12" s="8">
        <v>250</v>
      </c>
      <c r="M12" s="5">
        <v>-75</v>
      </c>
      <c r="N12" s="2">
        <v>-350</v>
      </c>
      <c r="O12" s="8">
        <v>282</v>
      </c>
      <c r="P12" s="5">
        <v>-394</v>
      </c>
      <c r="S12" s="2">
        <v>-618.20000000000005</v>
      </c>
      <c r="T12" s="8">
        <v>-1067.6000000000001</v>
      </c>
      <c r="U12" s="5">
        <v>-874.5</v>
      </c>
    </row>
    <row r="13" spans="1:21" x14ac:dyDescent="0.35">
      <c r="A13" s="8">
        <v>18</v>
      </c>
      <c r="B13" s="2">
        <v>118</v>
      </c>
      <c r="C13" s="8">
        <v>-265</v>
      </c>
      <c r="D13" s="5">
        <v>138</v>
      </c>
      <c r="E13" s="2">
        <v>114</v>
      </c>
      <c r="F13" s="8">
        <v>-290</v>
      </c>
      <c r="G13" s="5">
        <v>-51</v>
      </c>
      <c r="H13" s="2">
        <v>113</v>
      </c>
      <c r="I13" s="8">
        <v>-85</v>
      </c>
      <c r="J13" s="5">
        <v>120</v>
      </c>
      <c r="K13" s="2">
        <v>-61</v>
      </c>
      <c r="L13" s="8">
        <v>-18</v>
      </c>
      <c r="M13" s="5">
        <v>-214</v>
      </c>
      <c r="N13" s="2">
        <v>-175</v>
      </c>
      <c r="O13" s="8">
        <v>250</v>
      </c>
      <c r="P13" s="5">
        <v>-75</v>
      </c>
      <c r="S13" s="2">
        <v>-117.39999999999998</v>
      </c>
      <c r="T13" s="8">
        <v>-91.7</v>
      </c>
      <c r="U13" s="5">
        <v>-198.49999999999994</v>
      </c>
    </row>
    <row r="14" spans="1:21" x14ac:dyDescent="0.35">
      <c r="A14" s="8">
        <v>-28</v>
      </c>
      <c r="B14" s="2">
        <v>15</v>
      </c>
      <c r="C14" s="8">
        <v>-312</v>
      </c>
      <c r="D14" s="5">
        <v>-51</v>
      </c>
      <c r="E14" s="2">
        <v>118</v>
      </c>
      <c r="F14" s="8">
        <v>-265</v>
      </c>
      <c r="G14" s="5">
        <v>138</v>
      </c>
      <c r="H14" s="2">
        <v>114</v>
      </c>
      <c r="I14" s="8">
        <v>-290</v>
      </c>
      <c r="J14" s="5">
        <v>-51</v>
      </c>
      <c r="K14" s="2">
        <v>113</v>
      </c>
      <c r="L14" s="8">
        <v>-85</v>
      </c>
      <c r="M14" s="5">
        <v>120</v>
      </c>
      <c r="N14" s="2">
        <v>-61</v>
      </c>
      <c r="O14" s="8">
        <v>-18</v>
      </c>
      <c r="P14" s="5">
        <v>-214</v>
      </c>
      <c r="S14" s="2">
        <v>320</v>
      </c>
      <c r="T14" s="8">
        <v>-566.5</v>
      </c>
      <c r="U14" s="5">
        <v>-498.90000000000003</v>
      </c>
    </row>
    <row r="15" spans="1:21" x14ac:dyDescent="0.35">
      <c r="A15" s="8">
        <v>-13</v>
      </c>
      <c r="B15" s="2">
        <v>-16</v>
      </c>
      <c r="C15" s="8">
        <v>-197</v>
      </c>
      <c r="D15" s="5">
        <v>37</v>
      </c>
      <c r="E15" s="2">
        <v>15</v>
      </c>
      <c r="F15" s="8">
        <v>-312</v>
      </c>
      <c r="G15" s="5">
        <v>-51</v>
      </c>
      <c r="H15" s="2">
        <v>118</v>
      </c>
      <c r="I15" s="8">
        <v>-265</v>
      </c>
      <c r="J15" s="5">
        <v>138</v>
      </c>
      <c r="K15" s="2">
        <v>114</v>
      </c>
      <c r="L15" s="8">
        <v>-290</v>
      </c>
      <c r="M15" s="5">
        <v>-51</v>
      </c>
      <c r="N15" s="2">
        <v>113</v>
      </c>
      <c r="O15" s="8">
        <v>-85</v>
      </c>
      <c r="P15" s="5">
        <v>120</v>
      </c>
      <c r="S15" s="2">
        <v>425.8</v>
      </c>
      <c r="T15" s="8">
        <v>251.29999999999998</v>
      </c>
      <c r="U15" s="5">
        <v>99.2</v>
      </c>
    </row>
    <row r="16" spans="1:21" x14ac:dyDescent="0.35">
      <c r="A16" s="8">
        <v>-22</v>
      </c>
      <c r="B16" s="3">
        <v>-37</v>
      </c>
      <c r="C16" s="9">
        <v>-125</v>
      </c>
      <c r="D16" s="6">
        <v>-40</v>
      </c>
      <c r="E16" s="2">
        <v>-16</v>
      </c>
      <c r="F16" s="8">
        <v>-197</v>
      </c>
      <c r="G16" s="5">
        <v>37</v>
      </c>
      <c r="H16" s="2">
        <v>15</v>
      </c>
      <c r="I16" s="8">
        <v>-312</v>
      </c>
      <c r="J16" s="5">
        <v>-51</v>
      </c>
      <c r="K16" s="2">
        <v>118</v>
      </c>
      <c r="L16" s="8">
        <v>-265</v>
      </c>
      <c r="M16" s="5">
        <v>138</v>
      </c>
      <c r="N16" s="2">
        <v>114</v>
      </c>
      <c r="O16" s="8">
        <v>-290</v>
      </c>
      <c r="P16" s="5">
        <v>-51</v>
      </c>
      <c r="S16" s="2">
        <v>476.6</v>
      </c>
      <c r="T16" s="8">
        <v>-244.29999999999998</v>
      </c>
      <c r="U16" s="5">
        <v>-439.4</v>
      </c>
    </row>
    <row r="17" spans="1:48" x14ac:dyDescent="0.35">
      <c r="A17" s="8">
        <v>0</v>
      </c>
      <c r="B17" s="10">
        <v>0</v>
      </c>
      <c r="C17" s="10">
        <v>0</v>
      </c>
      <c r="D17" s="10">
        <v>0</v>
      </c>
      <c r="E17" s="3">
        <v>-37</v>
      </c>
      <c r="F17" s="9">
        <v>-125</v>
      </c>
      <c r="G17" s="6">
        <v>-40</v>
      </c>
      <c r="H17" s="2">
        <v>-16</v>
      </c>
      <c r="I17" s="8">
        <v>-197</v>
      </c>
      <c r="J17" s="5">
        <v>37</v>
      </c>
      <c r="K17" s="2">
        <v>15</v>
      </c>
      <c r="L17" s="8">
        <v>-312</v>
      </c>
      <c r="M17" s="5">
        <v>-51</v>
      </c>
      <c r="N17" s="2">
        <v>118</v>
      </c>
      <c r="O17" s="8">
        <v>-265</v>
      </c>
      <c r="P17" s="5">
        <v>138</v>
      </c>
      <c r="S17" s="2">
        <v>345</v>
      </c>
      <c r="T17" s="8">
        <v>228</v>
      </c>
      <c r="U17" s="5">
        <v>-188.60000000000002</v>
      </c>
    </row>
    <row r="18" spans="1:48" x14ac:dyDescent="0.35">
      <c r="A18" s="8">
        <v>22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3">
        <v>-37</v>
      </c>
      <c r="I18" s="9">
        <v>-125</v>
      </c>
      <c r="J18" s="6">
        <v>-40</v>
      </c>
      <c r="K18" s="2">
        <v>-16</v>
      </c>
      <c r="L18" s="8">
        <v>-197</v>
      </c>
      <c r="M18" s="5">
        <v>37</v>
      </c>
      <c r="N18" s="2">
        <v>15</v>
      </c>
      <c r="O18" s="8">
        <v>-312</v>
      </c>
      <c r="P18" s="5">
        <v>-51</v>
      </c>
      <c r="S18" s="2">
        <v>274</v>
      </c>
      <c r="T18" s="8">
        <v>-169.8</v>
      </c>
      <c r="U18" s="5">
        <v>-719.09999999999991</v>
      </c>
    </row>
    <row r="19" spans="1:48" x14ac:dyDescent="0.35">
      <c r="A19" s="8">
        <v>13</v>
      </c>
      <c r="B19" s="10">
        <v>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3">
        <v>-37</v>
      </c>
      <c r="L19" s="9">
        <v>-125</v>
      </c>
      <c r="M19" s="6">
        <v>-40</v>
      </c>
      <c r="N19" s="2">
        <v>-16</v>
      </c>
      <c r="O19" s="8">
        <v>-197</v>
      </c>
      <c r="P19" s="5">
        <v>37</v>
      </c>
      <c r="S19" s="2">
        <v>144</v>
      </c>
      <c r="T19" s="8">
        <v>75.3</v>
      </c>
      <c r="U19" s="5">
        <v>-435.59999999999997</v>
      </c>
    </row>
    <row r="20" spans="1:48" x14ac:dyDescent="0.35">
      <c r="A20" s="9">
        <v>28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3">
        <v>-37</v>
      </c>
      <c r="O20" s="9">
        <v>-125</v>
      </c>
      <c r="P20" s="6">
        <v>-40</v>
      </c>
      <c r="S20" s="3">
        <v>88</v>
      </c>
      <c r="T20" s="9">
        <v>-77.2</v>
      </c>
      <c r="U20" s="6">
        <v>-401.2</v>
      </c>
    </row>
    <row r="24" spans="1:48" x14ac:dyDescent="0.35">
      <c r="D24" s="7">
        <v>49</v>
      </c>
      <c r="E24" s="1">
        <v>99</v>
      </c>
      <c r="F24" s="7">
        <v>34</v>
      </c>
      <c r="G24" s="4">
        <v>63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U24" cm="1">
        <f t="array" ref="U24:AJ39">MINVERSE(D24:S39)</f>
        <v>-8.419633626769377E-3</v>
      </c>
      <c r="V24">
        <v>1.6993339190962319E-2</v>
      </c>
      <c r="W24">
        <v>-9.366399458185605E-3</v>
      </c>
      <c r="X24">
        <v>6.184536706174866E-2</v>
      </c>
      <c r="Y24">
        <v>0.15039007915487346</v>
      </c>
      <c r="Z24">
        <v>-0.6340568044394701</v>
      </c>
      <c r="AA24">
        <v>0.2178184955610637</v>
      </c>
      <c r="AB24">
        <v>1.1495443760382702</v>
      </c>
      <c r="AC24">
        <v>-1.0652176088289744</v>
      </c>
      <c r="AD24">
        <v>-0.86228930089914113</v>
      </c>
      <c r="AE24">
        <v>1.4582778733599007</v>
      </c>
      <c r="AF24">
        <v>0.12055629330205143</v>
      </c>
      <c r="AG24">
        <v>-1.0116276114433818</v>
      </c>
      <c r="AH24">
        <v>0.26399966655728185</v>
      </c>
      <c r="AI24">
        <v>0.34448079930440867</v>
      </c>
      <c r="AJ24">
        <v>-0.19245048736722514</v>
      </c>
      <c r="AL24" cm="1">
        <f t="array" ref="AL24:AN39">MMULT(_xlfn.ANCHORARRAY(U24),S2:U17)</f>
        <v>4.7606363295926712E-12</v>
      </c>
      <c r="AM24">
        <v>9.999999999433129E-2</v>
      </c>
      <c r="AN24">
        <v>9.9999999991460697E-2</v>
      </c>
      <c r="AP24" cm="1">
        <f t="array" ref="AP24:AR42">MMULT(A2:P20,_xlfn.ANCHORARRAY(AL24))</f>
        <v>118.80000000047204</v>
      </c>
      <c r="AQ24">
        <v>53.400000000255098</v>
      </c>
      <c r="AR24">
        <v>84.100000000196403</v>
      </c>
      <c r="AT24">
        <f>AP24-S2</f>
        <v>4.7204196107486496E-10</v>
      </c>
      <c r="AU24">
        <f t="shared" ref="AU24:AV24" si="0">AQ24-T2</f>
        <v>2.5509905299259117E-10</v>
      </c>
      <c r="AV24">
        <f t="shared" si="0"/>
        <v>1.9639401216409169E-10</v>
      </c>
    </row>
    <row r="25" spans="1:48" x14ac:dyDescent="0.35">
      <c r="D25" s="8">
        <v>87</v>
      </c>
      <c r="E25" s="2">
        <v>143</v>
      </c>
      <c r="F25" s="8">
        <v>127</v>
      </c>
      <c r="G25" s="5">
        <v>167</v>
      </c>
      <c r="H25" s="1">
        <v>99</v>
      </c>
      <c r="I25" s="7">
        <v>34</v>
      </c>
      <c r="J25" s="4">
        <v>63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U25">
        <v>2.4373025631078439E-2</v>
      </c>
      <c r="V25">
        <v>-1.5762782788243918E-2</v>
      </c>
      <c r="W25">
        <v>5.6789914016718178E-3</v>
      </c>
      <c r="X25">
        <v>3.1000456014729567E-2</v>
      </c>
      <c r="Y25">
        <v>-0.3585517731585926</v>
      </c>
      <c r="Z25">
        <v>0.56902894370441559</v>
      </c>
      <c r="AA25">
        <v>0.2703204971305212</v>
      </c>
      <c r="AB25">
        <v>-1.2916319566430194</v>
      </c>
      <c r="AC25">
        <v>0.462076428205071</v>
      </c>
      <c r="AD25">
        <v>1.2547853062666674</v>
      </c>
      <c r="AE25">
        <v>-1.0326794274473308</v>
      </c>
      <c r="AF25">
        <v>-0.57771211871258044</v>
      </c>
      <c r="AG25">
        <v>0.91542750437479681</v>
      </c>
      <c r="AH25">
        <v>-1.8273184777040333E-2</v>
      </c>
      <c r="AI25">
        <v>-0.40973554587300287</v>
      </c>
      <c r="AJ25">
        <v>0.18028639323039375</v>
      </c>
      <c r="AL25">
        <v>1.2000000000029871</v>
      </c>
      <c r="AM25">
        <v>3.637978807091713E-12</v>
      </c>
      <c r="AN25">
        <v>0.80000000000366356</v>
      </c>
      <c r="AP25">
        <v>270.60000000057306</v>
      </c>
      <c r="AQ25">
        <v>155.70000000019803</v>
      </c>
      <c r="AR25">
        <v>136.20000000009517</v>
      </c>
      <c r="AT25">
        <f t="shared" ref="AT25:AT42" si="1">AP25-S3</f>
        <v>5.730385055358056E-10</v>
      </c>
      <c r="AU25">
        <f t="shared" ref="AU25:AU42" si="2">AQ25-T3</f>
        <v>1.9804247131105512E-10</v>
      </c>
      <c r="AV25">
        <f t="shared" ref="AV25:AV42" si="3">AR25-U3</f>
        <v>9.5184304882423021E-11</v>
      </c>
    </row>
    <row r="26" spans="1:48" x14ac:dyDescent="0.35">
      <c r="D26" s="8">
        <v>43</v>
      </c>
      <c r="E26" s="2">
        <v>42</v>
      </c>
      <c r="F26" s="8">
        <v>172</v>
      </c>
      <c r="G26" s="5">
        <v>-2</v>
      </c>
      <c r="H26" s="2">
        <v>143</v>
      </c>
      <c r="I26" s="8">
        <v>127</v>
      </c>
      <c r="J26" s="5">
        <v>167</v>
      </c>
      <c r="K26" s="1">
        <v>99</v>
      </c>
      <c r="L26" s="7">
        <v>34</v>
      </c>
      <c r="M26" s="4">
        <v>63</v>
      </c>
      <c r="N26" s="11">
        <v>0</v>
      </c>
      <c r="O26" s="11">
        <v>0</v>
      </c>
      <c r="P26" s="11">
        <v>0</v>
      </c>
      <c r="Q26" s="11">
        <v>0</v>
      </c>
      <c r="R26" s="11">
        <v>0</v>
      </c>
      <c r="S26" s="11">
        <v>0</v>
      </c>
      <c r="U26">
        <v>1.369232432442534E-2</v>
      </c>
      <c r="V26">
        <v>-3.9473024001541309E-3</v>
      </c>
      <c r="W26">
        <v>-4.8268410496498998E-3</v>
      </c>
      <c r="X26">
        <v>1.3051824576425997E-2</v>
      </c>
      <c r="Y26">
        <v>-0.17508307262669728</v>
      </c>
      <c r="Z26">
        <v>0.30560194532063828</v>
      </c>
      <c r="AA26">
        <v>0.15617056492442749</v>
      </c>
      <c r="AB26">
        <v>-0.67663178997237028</v>
      </c>
      <c r="AC26">
        <v>4.7166824584704926E-2</v>
      </c>
      <c r="AD26">
        <v>0.92690206438527067</v>
      </c>
      <c r="AE26">
        <v>-0.43531592385426093</v>
      </c>
      <c r="AF26">
        <v>-0.75120113738984917</v>
      </c>
      <c r="AG26">
        <v>0.7070492555957445</v>
      </c>
      <c r="AH26">
        <v>0.15830701136315362</v>
      </c>
      <c r="AI26">
        <v>-0.42573324237965793</v>
      </c>
      <c r="AJ26">
        <v>0.16029994514274937</v>
      </c>
      <c r="AL26">
        <v>4.8814285946718883E-12</v>
      </c>
      <c r="AM26">
        <v>0.50000000000650147</v>
      </c>
      <c r="AN26">
        <v>6.8105521222605603E-12</v>
      </c>
      <c r="AP26">
        <v>292.40000000047763</v>
      </c>
      <c r="AQ26">
        <v>207.70000000024555</v>
      </c>
      <c r="AR26">
        <v>80.000000000156831</v>
      </c>
      <c r="AT26">
        <f t="shared" si="1"/>
        <v>4.7765524868736975E-10</v>
      </c>
      <c r="AU26">
        <f t="shared" si="2"/>
        <v>2.4553514776926022E-10</v>
      </c>
      <c r="AV26">
        <f t="shared" si="3"/>
        <v>1.5683099263696931E-10</v>
      </c>
    </row>
    <row r="27" spans="1:48" x14ac:dyDescent="0.35">
      <c r="D27" s="8">
        <v>18</v>
      </c>
      <c r="E27" s="2">
        <v>-82</v>
      </c>
      <c r="F27" s="8">
        <v>335</v>
      </c>
      <c r="G27" s="5">
        <v>38</v>
      </c>
      <c r="H27" s="2">
        <v>42</v>
      </c>
      <c r="I27" s="8">
        <v>172</v>
      </c>
      <c r="J27" s="5">
        <v>-2</v>
      </c>
      <c r="K27" s="2">
        <v>143</v>
      </c>
      <c r="L27" s="8">
        <v>127</v>
      </c>
      <c r="M27" s="5">
        <v>167</v>
      </c>
      <c r="N27" s="1">
        <v>99</v>
      </c>
      <c r="O27" s="7">
        <v>34</v>
      </c>
      <c r="P27" s="4">
        <v>63</v>
      </c>
      <c r="Q27" s="11">
        <v>0</v>
      </c>
      <c r="R27" s="11">
        <v>0</v>
      </c>
      <c r="S27" s="11">
        <v>0</v>
      </c>
      <c r="U27">
        <v>-2.3268357409452781E-2</v>
      </c>
      <c r="V27">
        <v>1.3683335829908456E-2</v>
      </c>
      <c r="W27">
        <v>9.6580984720128849E-4</v>
      </c>
      <c r="X27">
        <v>-0.10386079630289478</v>
      </c>
      <c r="Y27">
        <v>0.54095771640348478</v>
      </c>
      <c r="Z27">
        <v>-0.56596108174769399</v>
      </c>
      <c r="AA27">
        <v>-0.67848626517213095</v>
      </c>
      <c r="AB27">
        <v>1.5007836530292709</v>
      </c>
      <c r="AC27">
        <v>7.6927371499012118E-2</v>
      </c>
      <c r="AD27">
        <v>-1.8013688851657372</v>
      </c>
      <c r="AE27">
        <v>0.7234982370427826</v>
      </c>
      <c r="AF27">
        <v>1.2194774611428529</v>
      </c>
      <c r="AG27">
        <v>-1.0332895978195937</v>
      </c>
      <c r="AH27">
        <v>-0.26205359928138156</v>
      </c>
      <c r="AI27">
        <v>0.60570143041935787</v>
      </c>
      <c r="AJ27">
        <v>-0.22013455847092706</v>
      </c>
      <c r="AL27">
        <v>-3.5385028240852989E-12</v>
      </c>
      <c r="AM27">
        <v>0.49999999999923261</v>
      </c>
      <c r="AN27">
        <v>3.2684965844964609E-13</v>
      </c>
      <c r="AP27">
        <v>185.60000000009563</v>
      </c>
      <c r="AQ27">
        <v>390.10000000007159</v>
      </c>
      <c r="AR27">
        <v>63.400000000002478</v>
      </c>
      <c r="AT27">
        <f t="shared" si="1"/>
        <v>9.5610630523879081E-11</v>
      </c>
      <c r="AU27">
        <f t="shared" si="2"/>
        <v>7.1622707764618099E-11</v>
      </c>
      <c r="AV27">
        <f t="shared" si="3"/>
        <v>2.4868995751603507E-12</v>
      </c>
    </row>
    <row r="28" spans="1:48" x14ac:dyDescent="0.35">
      <c r="D28" s="8">
        <v>-88</v>
      </c>
      <c r="E28" s="2">
        <v>-283</v>
      </c>
      <c r="F28" s="8">
        <v>335</v>
      </c>
      <c r="G28" s="5">
        <v>-284</v>
      </c>
      <c r="H28" s="2">
        <v>-82</v>
      </c>
      <c r="I28" s="8">
        <v>335</v>
      </c>
      <c r="J28" s="5">
        <v>38</v>
      </c>
      <c r="K28" s="2">
        <v>42</v>
      </c>
      <c r="L28" s="8">
        <v>172</v>
      </c>
      <c r="M28" s="5">
        <v>-2</v>
      </c>
      <c r="N28" s="2">
        <v>143</v>
      </c>
      <c r="O28" s="8">
        <v>127</v>
      </c>
      <c r="P28" s="5">
        <v>167</v>
      </c>
      <c r="Q28" s="1">
        <v>99</v>
      </c>
      <c r="R28" s="7">
        <v>34</v>
      </c>
      <c r="S28" s="4">
        <v>63</v>
      </c>
      <c r="U28">
        <v>6.3908070186783576E-4</v>
      </c>
      <c r="V28">
        <v>-1.9148403927648889E-3</v>
      </c>
      <c r="W28">
        <v>1.8858003286752678E-3</v>
      </c>
      <c r="X28">
        <v>9.9840742460938436E-2</v>
      </c>
      <c r="Y28">
        <v>-0.52631926261201434</v>
      </c>
      <c r="Z28">
        <v>0.50323886638450466</v>
      </c>
      <c r="AA28">
        <v>0.67346510154322559</v>
      </c>
      <c r="AB28">
        <v>-1.3506373026896177</v>
      </c>
      <c r="AC28">
        <v>-8.8710897532321045E-2</v>
      </c>
      <c r="AD28">
        <v>1.5259956015184748</v>
      </c>
      <c r="AE28">
        <v>-0.60155316421891458</v>
      </c>
      <c r="AF28">
        <v>-0.94333709534404597</v>
      </c>
      <c r="AG28">
        <v>0.79392069984838975</v>
      </c>
      <c r="AH28">
        <v>0.18221465563765127</v>
      </c>
      <c r="AI28">
        <v>-0.45492267897323696</v>
      </c>
      <c r="AJ28">
        <v>0.17456374713109105</v>
      </c>
      <c r="AL28">
        <v>0.99999999999667466</v>
      </c>
      <c r="AM28">
        <v>-7.8372863754339051E-12</v>
      </c>
      <c r="AN28">
        <v>-9.5567997959733475E-12</v>
      </c>
      <c r="AP28">
        <v>-171.59999999995875</v>
      </c>
      <c r="AQ28">
        <v>218.69999999996611</v>
      </c>
      <c r="AR28">
        <v>461.29999999987831</v>
      </c>
      <c r="AT28">
        <f t="shared" si="1"/>
        <v>4.1211478674085811E-11</v>
      </c>
      <c r="AU28">
        <f t="shared" si="2"/>
        <v>-3.3878677641041577E-11</v>
      </c>
      <c r="AV28">
        <f t="shared" si="3"/>
        <v>-1.2170175978098996E-10</v>
      </c>
    </row>
    <row r="29" spans="1:48" x14ac:dyDescent="0.35">
      <c r="D29" s="8">
        <v>-92</v>
      </c>
      <c r="E29" s="2">
        <v>-328</v>
      </c>
      <c r="F29" s="8">
        <v>439</v>
      </c>
      <c r="G29" s="5">
        <v>-151</v>
      </c>
      <c r="H29" s="2">
        <v>-283</v>
      </c>
      <c r="I29" s="8">
        <v>335</v>
      </c>
      <c r="J29" s="5">
        <v>-284</v>
      </c>
      <c r="K29" s="2">
        <v>-82</v>
      </c>
      <c r="L29" s="8">
        <v>335</v>
      </c>
      <c r="M29" s="5">
        <v>38</v>
      </c>
      <c r="N29" s="2">
        <v>42</v>
      </c>
      <c r="O29" s="8">
        <v>172</v>
      </c>
      <c r="P29" s="5">
        <v>-2</v>
      </c>
      <c r="Q29" s="2">
        <v>143</v>
      </c>
      <c r="R29" s="8">
        <v>127</v>
      </c>
      <c r="S29" s="5">
        <v>167</v>
      </c>
      <c r="U29">
        <v>-2.1754016016692523E-2</v>
      </c>
      <c r="V29">
        <v>6.4888071775642932E-3</v>
      </c>
      <c r="W29">
        <v>1.5359276636248732E-2</v>
      </c>
      <c r="X29">
        <v>3.7717370602860806E-3</v>
      </c>
      <c r="Y29">
        <v>8.7462865805678996E-2</v>
      </c>
      <c r="Z29">
        <v>-0.19875915046880704</v>
      </c>
      <c r="AA29">
        <v>-0.18944389093953082</v>
      </c>
      <c r="AB29">
        <v>0.59621770430692256</v>
      </c>
      <c r="AC29">
        <v>0.22544174801077427</v>
      </c>
      <c r="AD29">
        <v>-1.2854715743372283</v>
      </c>
      <c r="AE29">
        <v>0.43589670742338626</v>
      </c>
      <c r="AF29">
        <v>1.2246028523009316</v>
      </c>
      <c r="AG29">
        <v>-1.0883534461540143</v>
      </c>
      <c r="AH29">
        <v>-0.23320500677020006</v>
      </c>
      <c r="AI29">
        <v>0.65160643328178636</v>
      </c>
      <c r="AJ29">
        <v>-0.24301366791779117</v>
      </c>
      <c r="AL29">
        <v>-7.617018127348274E-12</v>
      </c>
      <c r="AM29">
        <v>-1.3010037491767434E-11</v>
      </c>
      <c r="AN29">
        <v>0.19999999998577778</v>
      </c>
      <c r="AP29">
        <v>-700.60000000011576</v>
      </c>
      <c r="AQ29">
        <v>461.39999999993842</v>
      </c>
      <c r="AR29">
        <v>698.99999999991564</v>
      </c>
      <c r="AT29">
        <f t="shared" si="1"/>
        <v>-1.1584688763832673E-10</v>
      </c>
      <c r="AU29">
        <f t="shared" si="2"/>
        <v>-6.1618266045115888E-11</v>
      </c>
      <c r="AV29">
        <f t="shared" si="3"/>
        <v>-8.4241946751717478E-11</v>
      </c>
    </row>
    <row r="30" spans="1:48" x14ac:dyDescent="0.35">
      <c r="D30" s="8">
        <v>-150</v>
      </c>
      <c r="E30" s="2">
        <v>-350</v>
      </c>
      <c r="F30" s="8">
        <v>282</v>
      </c>
      <c r="G30" s="5">
        <v>-394</v>
      </c>
      <c r="H30" s="2">
        <v>-328</v>
      </c>
      <c r="I30" s="8">
        <v>439</v>
      </c>
      <c r="J30" s="5">
        <v>-151</v>
      </c>
      <c r="K30" s="2">
        <v>-283</v>
      </c>
      <c r="L30" s="8">
        <v>335</v>
      </c>
      <c r="M30" s="5">
        <v>-284</v>
      </c>
      <c r="N30" s="2">
        <v>-82</v>
      </c>
      <c r="O30" s="8">
        <v>335</v>
      </c>
      <c r="P30" s="5">
        <v>38</v>
      </c>
      <c r="Q30" s="2">
        <v>42</v>
      </c>
      <c r="R30" s="8">
        <v>172</v>
      </c>
      <c r="S30" s="5">
        <v>-2</v>
      </c>
      <c r="U30">
        <v>1.1178335483166151E-3</v>
      </c>
      <c r="V30">
        <v>-6.2226182259432841E-4</v>
      </c>
      <c r="W30">
        <v>-4.0382553480207833E-3</v>
      </c>
      <c r="X30">
        <v>-6.5697038837837229E-2</v>
      </c>
      <c r="Y30">
        <v>0.30502298127951882</v>
      </c>
      <c r="Z30">
        <v>-0.21534888926159004</v>
      </c>
      <c r="AA30">
        <v>-0.38673727660267904</v>
      </c>
      <c r="AB30">
        <v>0.53073122817557961</v>
      </c>
      <c r="AC30">
        <v>0.14090959357994504</v>
      </c>
      <c r="AD30">
        <v>-0.45508919039718493</v>
      </c>
      <c r="AE30">
        <v>-4.4839820942373504E-5</v>
      </c>
      <c r="AF30">
        <v>0.24806538662069297</v>
      </c>
      <c r="AG30">
        <v>-2.7373899532747541E-2</v>
      </c>
      <c r="AH30">
        <v>-0.10805120013392391</v>
      </c>
      <c r="AI30">
        <v>7.0175601735067969E-2</v>
      </c>
      <c r="AJ30">
        <v>-2.623380724214535E-2</v>
      </c>
      <c r="AL30">
        <v>4.6185277824406512E-12</v>
      </c>
      <c r="AM30">
        <v>1.0978773445913248E-11</v>
      </c>
      <c r="AN30">
        <v>0.10000000001308518</v>
      </c>
      <c r="AP30">
        <v>-1242.9999999997599</v>
      </c>
      <c r="AQ30">
        <v>-347.79999999998751</v>
      </c>
      <c r="AR30">
        <v>323.79999999991225</v>
      </c>
      <c r="AT30">
        <f t="shared" si="1"/>
        <v>2.4010660126805305E-10</v>
      </c>
      <c r="AU30">
        <f t="shared" si="2"/>
        <v>1.2505552149377763E-11</v>
      </c>
      <c r="AV30">
        <f t="shared" si="3"/>
        <v>-8.7766238721087575E-11</v>
      </c>
    </row>
    <row r="31" spans="1:48" x14ac:dyDescent="0.35">
      <c r="D31" s="8">
        <v>-75</v>
      </c>
      <c r="E31" s="2">
        <v>-175</v>
      </c>
      <c r="F31" s="8">
        <v>250</v>
      </c>
      <c r="G31" s="5">
        <v>-75</v>
      </c>
      <c r="H31" s="2">
        <v>-350</v>
      </c>
      <c r="I31" s="8">
        <v>282</v>
      </c>
      <c r="J31" s="5">
        <v>-394</v>
      </c>
      <c r="K31" s="2">
        <v>-328</v>
      </c>
      <c r="L31" s="8">
        <v>439</v>
      </c>
      <c r="M31" s="5">
        <v>-151</v>
      </c>
      <c r="N31" s="2">
        <v>-283</v>
      </c>
      <c r="O31" s="8">
        <v>335</v>
      </c>
      <c r="P31" s="5">
        <v>-284</v>
      </c>
      <c r="Q31" s="2">
        <v>-82</v>
      </c>
      <c r="R31" s="8">
        <v>335</v>
      </c>
      <c r="S31" s="5">
        <v>38</v>
      </c>
      <c r="U31">
        <v>-1.7814395168687842E-2</v>
      </c>
      <c r="V31">
        <v>1.5502528586861108E-2</v>
      </c>
      <c r="W31">
        <v>2.9926554849841617E-3</v>
      </c>
      <c r="X31">
        <v>-0.15342884160016693</v>
      </c>
      <c r="Y31">
        <v>0.85191471543085384</v>
      </c>
      <c r="Z31">
        <v>-1.0204994858875962</v>
      </c>
      <c r="AA31">
        <v>-0.94756839395672088</v>
      </c>
      <c r="AB31">
        <v>2.6464809264804012</v>
      </c>
      <c r="AC31">
        <v>-0.39298359902953584</v>
      </c>
      <c r="AD31">
        <v>-2.8056525405646129</v>
      </c>
      <c r="AE31">
        <v>1.6563465116242004</v>
      </c>
      <c r="AF31">
        <v>1.5247442579774868</v>
      </c>
      <c r="AG31">
        <v>-1.6488090514396494</v>
      </c>
      <c r="AH31">
        <v>-0.21563812917613367</v>
      </c>
      <c r="AI31">
        <v>0.80274316706788174</v>
      </c>
      <c r="AJ31">
        <v>-0.29015808500702622</v>
      </c>
      <c r="AL31">
        <v>0.99999999999937472</v>
      </c>
      <c r="AM31">
        <v>0.99999999999867839</v>
      </c>
      <c r="AN31">
        <v>-1.7692514120426495E-12</v>
      </c>
      <c r="AP31">
        <v>-1587.9999999996744</v>
      </c>
      <c r="AQ31">
        <v>-114.39999999978866</v>
      </c>
      <c r="AR31">
        <v>211.40000000018688</v>
      </c>
      <c r="AT31">
        <f t="shared" si="1"/>
        <v>3.2559910323470831E-10</v>
      </c>
      <c r="AU31">
        <f t="shared" si="2"/>
        <v>2.113154096150538E-10</v>
      </c>
      <c r="AV31">
        <f t="shared" si="3"/>
        <v>1.8690116121433675E-10</v>
      </c>
    </row>
    <row r="32" spans="1:48" x14ac:dyDescent="0.35">
      <c r="D32" s="8">
        <v>-80</v>
      </c>
      <c r="E32" s="2">
        <v>-61</v>
      </c>
      <c r="F32" s="8">
        <v>-18</v>
      </c>
      <c r="G32" s="5">
        <v>-214</v>
      </c>
      <c r="H32" s="2">
        <v>-175</v>
      </c>
      <c r="I32" s="8">
        <v>250</v>
      </c>
      <c r="J32" s="5">
        <v>-75</v>
      </c>
      <c r="K32" s="2">
        <v>-350</v>
      </c>
      <c r="L32" s="8">
        <v>282</v>
      </c>
      <c r="M32" s="5">
        <v>-394</v>
      </c>
      <c r="N32" s="2">
        <v>-328</v>
      </c>
      <c r="O32" s="8">
        <v>439</v>
      </c>
      <c r="P32" s="5">
        <v>-151</v>
      </c>
      <c r="Q32" s="2">
        <v>-283</v>
      </c>
      <c r="R32" s="8">
        <v>335</v>
      </c>
      <c r="S32" s="5">
        <v>-284</v>
      </c>
      <c r="U32">
        <v>-3.3716958255018917E-3</v>
      </c>
      <c r="V32">
        <v>7.6707487862115427E-3</v>
      </c>
      <c r="W32">
        <v>-8.1425242813600064E-3</v>
      </c>
      <c r="X32">
        <v>-0.16102514580944363</v>
      </c>
      <c r="Y32">
        <v>0.82856168615329584</v>
      </c>
      <c r="Z32">
        <v>-0.9767539254675599</v>
      </c>
      <c r="AA32">
        <v>-0.61271196334327038</v>
      </c>
      <c r="AB32">
        <v>1.933929394478525</v>
      </c>
      <c r="AC32">
        <v>-0.45434545751195116</v>
      </c>
      <c r="AD32">
        <v>-1.5190162829256317</v>
      </c>
      <c r="AE32">
        <v>0.75946652229420941</v>
      </c>
      <c r="AF32">
        <v>0.88605957901082266</v>
      </c>
      <c r="AG32">
        <v>-0.64671002045915815</v>
      </c>
      <c r="AH32">
        <v>-0.38485184850493459</v>
      </c>
      <c r="AI32">
        <v>0.51855391098062953</v>
      </c>
      <c r="AJ32">
        <v>-0.16148539952559932</v>
      </c>
      <c r="AL32">
        <v>3.851141627819743E-12</v>
      </c>
      <c r="AM32">
        <v>0.20000000000791118</v>
      </c>
      <c r="AN32">
        <v>8.9279694748256588E-12</v>
      </c>
      <c r="AP32">
        <v>-1544.1999999993479</v>
      </c>
      <c r="AQ32">
        <v>-1064.3999999997302</v>
      </c>
      <c r="AR32">
        <v>-563.19999999986567</v>
      </c>
      <c r="AT32">
        <f t="shared" si="1"/>
        <v>6.5210770117118955E-10</v>
      </c>
      <c r="AU32">
        <f t="shared" si="2"/>
        <v>2.6989255275111645E-10</v>
      </c>
      <c r="AV32">
        <f t="shared" si="3"/>
        <v>1.3437784218695015E-10</v>
      </c>
    </row>
    <row r="33" spans="4:48" x14ac:dyDescent="0.35">
      <c r="D33" s="8">
        <v>8</v>
      </c>
      <c r="E33" s="2">
        <v>113</v>
      </c>
      <c r="F33" s="8">
        <v>-85</v>
      </c>
      <c r="G33" s="5">
        <v>120</v>
      </c>
      <c r="H33" s="2">
        <v>-61</v>
      </c>
      <c r="I33" s="8">
        <v>-18</v>
      </c>
      <c r="J33" s="5">
        <v>-214</v>
      </c>
      <c r="K33" s="2">
        <v>-175</v>
      </c>
      <c r="L33" s="8">
        <v>250</v>
      </c>
      <c r="M33" s="5">
        <v>-75</v>
      </c>
      <c r="N33" s="2">
        <v>-350</v>
      </c>
      <c r="O33" s="8">
        <v>282</v>
      </c>
      <c r="P33" s="5">
        <v>-394</v>
      </c>
      <c r="Q33" s="2">
        <v>-328</v>
      </c>
      <c r="R33" s="8">
        <v>439</v>
      </c>
      <c r="S33" s="5">
        <v>-151</v>
      </c>
      <c r="U33">
        <v>2.0630424472648623E-2</v>
      </c>
      <c r="V33">
        <v>-2.5464578150179128E-2</v>
      </c>
      <c r="W33">
        <v>6.8420605386361388E-3</v>
      </c>
      <c r="X33">
        <v>0.16611862900414343</v>
      </c>
      <c r="Y33">
        <v>-0.94452407048808351</v>
      </c>
      <c r="Z33">
        <v>1.1611328807726289</v>
      </c>
      <c r="AA33">
        <v>0.92130955064634512</v>
      </c>
      <c r="AB33">
        <v>-2.774055098584892</v>
      </c>
      <c r="AC33">
        <v>0.52879498715388662</v>
      </c>
      <c r="AD33">
        <v>2.7268433823214164</v>
      </c>
      <c r="AE33">
        <v>-1.6212942022672456</v>
      </c>
      <c r="AF33">
        <v>-1.466737229722777</v>
      </c>
      <c r="AG33">
        <v>1.5215061356121029</v>
      </c>
      <c r="AH33">
        <v>0.28096195411506336</v>
      </c>
      <c r="AI33">
        <v>-0.78869947348755232</v>
      </c>
      <c r="AJ33">
        <v>0.27283813578471638</v>
      </c>
      <c r="AL33">
        <v>-1.5347723092418164E-12</v>
      </c>
      <c r="AM33">
        <v>0.20000000000028706</v>
      </c>
      <c r="AN33">
        <v>9.3081098384573124E-13</v>
      </c>
      <c r="AP33">
        <v>-1217.3999999995776</v>
      </c>
      <c r="AQ33">
        <v>-423.69999999968502</v>
      </c>
      <c r="AR33">
        <v>-393.19999999971026</v>
      </c>
      <c r="AT33">
        <f t="shared" si="1"/>
        <v>4.2246028897352517E-10</v>
      </c>
      <c r="AU33">
        <f t="shared" si="2"/>
        <v>3.1496938390773721E-10</v>
      </c>
      <c r="AV33">
        <f t="shared" si="3"/>
        <v>2.8973090593353845E-10</v>
      </c>
    </row>
    <row r="34" spans="4:48" x14ac:dyDescent="0.35">
      <c r="D34" s="8">
        <v>-17</v>
      </c>
      <c r="E34" s="2">
        <v>114</v>
      </c>
      <c r="F34" s="8">
        <v>-290</v>
      </c>
      <c r="G34" s="5">
        <v>-51</v>
      </c>
      <c r="H34" s="2">
        <v>113</v>
      </c>
      <c r="I34" s="8">
        <v>-85</v>
      </c>
      <c r="J34" s="5">
        <v>120</v>
      </c>
      <c r="K34" s="2">
        <v>-61</v>
      </c>
      <c r="L34" s="8">
        <v>-18</v>
      </c>
      <c r="M34" s="5">
        <v>-214</v>
      </c>
      <c r="N34" s="2">
        <v>-175</v>
      </c>
      <c r="O34" s="8">
        <v>250</v>
      </c>
      <c r="P34" s="5">
        <v>-75</v>
      </c>
      <c r="Q34" s="2">
        <v>-350</v>
      </c>
      <c r="R34" s="8">
        <v>282</v>
      </c>
      <c r="S34" s="5">
        <v>-394</v>
      </c>
      <c r="U34">
        <v>1.7059768323258968E-2</v>
      </c>
      <c r="V34">
        <v>-7.9755219764277834E-3</v>
      </c>
      <c r="W34">
        <v>-8.3165304199345758E-3</v>
      </c>
      <c r="X34">
        <v>0.12709807679693153</v>
      </c>
      <c r="Y34">
        <v>-0.51887284131017697</v>
      </c>
      <c r="Z34">
        <v>0.5885665362810919</v>
      </c>
      <c r="AA34">
        <v>0.49940770967573445</v>
      </c>
      <c r="AB34">
        <v>-1.5338808000820268</v>
      </c>
      <c r="AC34">
        <v>0.40219489604663811</v>
      </c>
      <c r="AD34">
        <v>1.5602380617573455</v>
      </c>
      <c r="AE34">
        <v>-1.1750546759141942</v>
      </c>
      <c r="AF34">
        <v>-0.78462279223022269</v>
      </c>
      <c r="AG34">
        <v>1.140056022794631</v>
      </c>
      <c r="AH34">
        <v>3.4289859229813875E-2</v>
      </c>
      <c r="AI34">
        <v>-0.56788635023214729</v>
      </c>
      <c r="AJ34">
        <v>0.23609211050613399</v>
      </c>
      <c r="AL34">
        <v>1.0000000000009379</v>
      </c>
      <c r="AM34">
        <v>5.4001247917767614E-13</v>
      </c>
      <c r="AN34">
        <v>0.20000000000004547</v>
      </c>
      <c r="AP34">
        <v>-618.19999999970742</v>
      </c>
      <c r="AQ34">
        <v>-1067.5999999998962</v>
      </c>
      <c r="AR34">
        <v>-874.49999999999739</v>
      </c>
      <c r="AT34">
        <f t="shared" si="1"/>
        <v>2.9262992029543966E-10</v>
      </c>
      <c r="AU34">
        <f t="shared" si="2"/>
        <v>1.0390976967755705E-10</v>
      </c>
      <c r="AV34">
        <f t="shared" si="3"/>
        <v>2.6147972675971687E-12</v>
      </c>
    </row>
    <row r="35" spans="4:48" x14ac:dyDescent="0.35">
      <c r="D35" s="8">
        <v>18</v>
      </c>
      <c r="E35" s="2">
        <v>118</v>
      </c>
      <c r="F35" s="8">
        <v>-265</v>
      </c>
      <c r="G35" s="5">
        <v>138</v>
      </c>
      <c r="H35" s="2">
        <v>114</v>
      </c>
      <c r="I35" s="8">
        <v>-290</v>
      </c>
      <c r="J35" s="5">
        <v>-51</v>
      </c>
      <c r="K35" s="2">
        <v>113</v>
      </c>
      <c r="L35" s="8">
        <v>-85</v>
      </c>
      <c r="M35" s="5">
        <v>120</v>
      </c>
      <c r="N35" s="2">
        <v>-61</v>
      </c>
      <c r="O35" s="8">
        <v>-18</v>
      </c>
      <c r="P35" s="5">
        <v>-214</v>
      </c>
      <c r="Q35" s="2">
        <v>-175</v>
      </c>
      <c r="R35" s="8">
        <v>250</v>
      </c>
      <c r="S35" s="5">
        <v>-75</v>
      </c>
      <c r="U35">
        <v>3.0418071264186899E-2</v>
      </c>
      <c r="V35">
        <v>-2.5374213519623646E-2</v>
      </c>
      <c r="W35">
        <v>-2.8811720419633737E-3</v>
      </c>
      <c r="X35">
        <v>0.27282244579197579</v>
      </c>
      <c r="Y35">
        <v>-1.4024003240219804</v>
      </c>
      <c r="Z35">
        <v>1.6890660149235661</v>
      </c>
      <c r="AA35">
        <v>1.2022328357044376</v>
      </c>
      <c r="AB35">
        <v>-3.6950334486140282</v>
      </c>
      <c r="AC35">
        <v>0.53966006752546247</v>
      </c>
      <c r="AD35">
        <v>3.808345456358369</v>
      </c>
      <c r="AE35">
        <v>-1.8988391926390915</v>
      </c>
      <c r="AF35">
        <v>-2.6118936978919782</v>
      </c>
      <c r="AG35">
        <v>2.370493605926371</v>
      </c>
      <c r="AH35">
        <v>0.70773404393441863</v>
      </c>
      <c r="AI35">
        <v>-1.5515747546320504</v>
      </c>
      <c r="AJ35">
        <v>0.55513855358996078</v>
      </c>
      <c r="AL35">
        <v>1.1368683772161603E-12</v>
      </c>
      <c r="AM35">
        <v>7.9580786405131221E-13</v>
      </c>
      <c r="AN35">
        <v>0.29999999999989768</v>
      </c>
      <c r="AP35">
        <v>-117.40000000021537</v>
      </c>
      <c r="AQ35">
        <v>-91.700000000016132</v>
      </c>
      <c r="AR35">
        <v>-198.49999999995106</v>
      </c>
      <c r="AT35">
        <f t="shared" si="1"/>
        <v>-2.1539392491831677E-10</v>
      </c>
      <c r="AU35">
        <f t="shared" si="2"/>
        <v>-1.6129320101754274E-11</v>
      </c>
      <c r="AV35">
        <f t="shared" si="3"/>
        <v>4.8885340220294893E-11</v>
      </c>
    </row>
    <row r="36" spans="4:48" x14ac:dyDescent="0.35">
      <c r="D36" s="8">
        <v>-28</v>
      </c>
      <c r="E36" s="2">
        <v>15</v>
      </c>
      <c r="F36" s="8">
        <v>-312</v>
      </c>
      <c r="G36" s="5">
        <v>-51</v>
      </c>
      <c r="H36" s="2">
        <v>118</v>
      </c>
      <c r="I36" s="8">
        <v>-265</v>
      </c>
      <c r="J36" s="5">
        <v>138</v>
      </c>
      <c r="K36" s="2">
        <v>114</v>
      </c>
      <c r="L36" s="8">
        <v>-290</v>
      </c>
      <c r="M36" s="5">
        <v>-51</v>
      </c>
      <c r="N36" s="2">
        <v>113</v>
      </c>
      <c r="O36" s="8">
        <v>-85</v>
      </c>
      <c r="P36" s="5">
        <v>120</v>
      </c>
      <c r="Q36" s="2">
        <v>-61</v>
      </c>
      <c r="R36" s="8">
        <v>-18</v>
      </c>
      <c r="S36" s="5">
        <v>-214</v>
      </c>
      <c r="U36">
        <v>-1.6321476548570107E-2</v>
      </c>
      <c r="V36">
        <v>1.398242840309737E-2</v>
      </c>
      <c r="W36">
        <v>-2.0585578235501525E-3</v>
      </c>
      <c r="X36">
        <v>-0.16159111364750475</v>
      </c>
      <c r="Y36">
        <v>0.68880023787920519</v>
      </c>
      <c r="Z36">
        <v>-0.79052759794156457</v>
      </c>
      <c r="AA36">
        <v>-0.56544520403717624</v>
      </c>
      <c r="AB36">
        <v>1.824948698094355</v>
      </c>
      <c r="AC36">
        <v>-0.46038441506948563</v>
      </c>
      <c r="AD36">
        <v>-1.7897497064575729</v>
      </c>
      <c r="AE36">
        <v>1.2069424444978034</v>
      </c>
      <c r="AF36">
        <v>1.0494221074270111</v>
      </c>
      <c r="AG36">
        <v>-1.2724881674305784</v>
      </c>
      <c r="AH36">
        <v>-0.18649089870969432</v>
      </c>
      <c r="AI36">
        <v>0.74625861437634233</v>
      </c>
      <c r="AJ36">
        <v>-0.29339866727001934</v>
      </c>
      <c r="AL36">
        <v>-9.8054897534893826E-13</v>
      </c>
      <c r="AM36">
        <v>-5.1159076974727213E-13</v>
      </c>
      <c r="AN36">
        <v>0.99999999999998579</v>
      </c>
      <c r="AP36">
        <v>319.99999999959766</v>
      </c>
      <c r="AQ36">
        <v>-566.50000000024727</v>
      </c>
      <c r="AR36">
        <v>-498.90000000021769</v>
      </c>
      <c r="AT36">
        <f t="shared" si="1"/>
        <v>-4.0233771869679913E-10</v>
      </c>
      <c r="AU36">
        <f t="shared" si="2"/>
        <v>-2.4726887204451486E-10</v>
      </c>
      <c r="AV36">
        <f t="shared" si="3"/>
        <v>-2.1765345081803389E-10</v>
      </c>
    </row>
    <row r="37" spans="4:48" x14ac:dyDescent="0.35">
      <c r="D37" s="8">
        <v>-13</v>
      </c>
      <c r="E37" s="2">
        <v>-16</v>
      </c>
      <c r="F37" s="8">
        <v>-197</v>
      </c>
      <c r="G37" s="5">
        <v>37</v>
      </c>
      <c r="H37" s="2">
        <v>15</v>
      </c>
      <c r="I37" s="8">
        <v>-312</v>
      </c>
      <c r="J37" s="5">
        <v>-51</v>
      </c>
      <c r="K37" s="2">
        <v>118</v>
      </c>
      <c r="L37" s="8">
        <v>-265</v>
      </c>
      <c r="M37" s="5">
        <v>138</v>
      </c>
      <c r="N37" s="2">
        <v>114</v>
      </c>
      <c r="O37" s="8">
        <v>-290</v>
      </c>
      <c r="P37" s="5">
        <v>-51</v>
      </c>
      <c r="Q37" s="2">
        <v>113</v>
      </c>
      <c r="R37" s="8">
        <v>-85</v>
      </c>
      <c r="S37" s="5">
        <v>120</v>
      </c>
      <c r="U37">
        <v>1.0179685421586549E-2</v>
      </c>
      <c r="V37">
        <v>-1.1250313274114141E-2</v>
      </c>
      <c r="W37">
        <v>1.5299215955547016E-2</v>
      </c>
      <c r="X37">
        <v>4.7707481346522598E-2</v>
      </c>
      <c r="Y37">
        <v>-0.32089691526553604</v>
      </c>
      <c r="Z37">
        <v>0.38776714661801476</v>
      </c>
      <c r="AA37">
        <v>0.32027338526925375</v>
      </c>
      <c r="AB37">
        <v>-0.95420311410771907</v>
      </c>
      <c r="AC37">
        <v>0.1940204336518348</v>
      </c>
      <c r="AD37">
        <v>0.97743305472010855</v>
      </c>
      <c r="AE37">
        <v>-0.65456279203482404</v>
      </c>
      <c r="AF37">
        <v>-0.49640824467150829</v>
      </c>
      <c r="AG37">
        <v>0.63254425852159535</v>
      </c>
      <c r="AH37">
        <v>3.3346010509666603E-2</v>
      </c>
      <c r="AI37">
        <v>-0.29679470298977084</v>
      </c>
      <c r="AJ37">
        <v>0.11704285145586228</v>
      </c>
      <c r="AL37">
        <v>1.0000000000001137</v>
      </c>
      <c r="AM37">
        <v>2.0605739337042905E-13</v>
      </c>
      <c r="AN37">
        <v>2.000000000000103</v>
      </c>
      <c r="AP37">
        <v>425.79999999942549</v>
      </c>
      <c r="AQ37">
        <v>251.299999999769</v>
      </c>
      <c r="AR37">
        <v>99.199999999934448</v>
      </c>
      <c r="AT37">
        <f t="shared" si="1"/>
        <v>-5.7451643442618661E-10</v>
      </c>
      <c r="AU37">
        <f t="shared" si="2"/>
        <v>-2.3098323254089337E-10</v>
      </c>
      <c r="AV37">
        <f t="shared" si="3"/>
        <v>-6.5554672801226843E-11</v>
      </c>
    </row>
    <row r="38" spans="4:48" x14ac:dyDescent="0.35">
      <c r="D38" s="8">
        <v>-22</v>
      </c>
      <c r="E38" s="3">
        <v>-37</v>
      </c>
      <c r="F38" s="9">
        <v>-125</v>
      </c>
      <c r="G38" s="6">
        <v>-40</v>
      </c>
      <c r="H38" s="2">
        <v>-16</v>
      </c>
      <c r="I38" s="8">
        <v>-197</v>
      </c>
      <c r="J38" s="5">
        <v>37</v>
      </c>
      <c r="K38" s="2">
        <v>15</v>
      </c>
      <c r="L38" s="8">
        <v>-312</v>
      </c>
      <c r="M38" s="5">
        <v>-51</v>
      </c>
      <c r="N38" s="2">
        <v>118</v>
      </c>
      <c r="O38" s="8">
        <v>-265</v>
      </c>
      <c r="P38" s="5">
        <v>138</v>
      </c>
      <c r="Q38" s="2">
        <v>114</v>
      </c>
      <c r="R38" s="8">
        <v>-290</v>
      </c>
      <c r="S38" s="5">
        <v>-51</v>
      </c>
      <c r="U38">
        <v>-1.4529105457127699E-2</v>
      </c>
      <c r="V38">
        <v>1.3707228899128834E-2</v>
      </c>
      <c r="W38">
        <v>4.6890239609603014E-3</v>
      </c>
      <c r="X38">
        <v>-0.13080559313920559</v>
      </c>
      <c r="Y38">
        <v>0.6089248630255788</v>
      </c>
      <c r="Z38">
        <v>-0.70507892798131733</v>
      </c>
      <c r="AA38">
        <v>-0.53956897361854594</v>
      </c>
      <c r="AB38">
        <v>1.5985199522412294</v>
      </c>
      <c r="AC38">
        <v>-0.20621036575021146</v>
      </c>
      <c r="AD38">
        <v>-1.7311250891055827</v>
      </c>
      <c r="AE38">
        <v>0.88771629282514286</v>
      </c>
      <c r="AF38">
        <v>1.2124599078235538</v>
      </c>
      <c r="AG38">
        <v>-1.1694083154935793</v>
      </c>
      <c r="AH38">
        <v>-0.28811175637509973</v>
      </c>
      <c r="AI38">
        <v>0.75117130591026282</v>
      </c>
      <c r="AJ38">
        <v>-0.28316038802504534</v>
      </c>
      <c r="AL38">
        <v>-0.99999999999997158</v>
      </c>
      <c r="AM38">
        <v>-3.2684965844964609E-13</v>
      </c>
      <c r="AN38">
        <v>2.0000000000000782</v>
      </c>
      <c r="AP38">
        <v>476.59999999958472</v>
      </c>
      <c r="AQ38">
        <v>-244.30000000029355</v>
      </c>
      <c r="AR38">
        <v>-439.40000000020916</v>
      </c>
      <c r="AT38">
        <f t="shared" si="1"/>
        <v>-4.1529801819706336E-10</v>
      </c>
      <c r="AU38">
        <f t="shared" si="2"/>
        <v>-2.9356783670664299E-10</v>
      </c>
      <c r="AV38">
        <f t="shared" si="3"/>
        <v>-2.0918378140777349E-10</v>
      </c>
    </row>
    <row r="39" spans="4:48" x14ac:dyDescent="0.35">
      <c r="D39" s="8">
        <v>0</v>
      </c>
      <c r="E39" s="10">
        <v>0</v>
      </c>
      <c r="F39" s="10">
        <v>0</v>
      </c>
      <c r="G39" s="10">
        <v>0</v>
      </c>
      <c r="H39" s="3">
        <v>-37</v>
      </c>
      <c r="I39" s="9">
        <v>-125</v>
      </c>
      <c r="J39" s="6">
        <v>-40</v>
      </c>
      <c r="K39" s="2">
        <v>-16</v>
      </c>
      <c r="L39" s="8">
        <v>-197</v>
      </c>
      <c r="M39" s="5">
        <v>37</v>
      </c>
      <c r="N39" s="2">
        <v>15</v>
      </c>
      <c r="O39" s="8">
        <v>-312</v>
      </c>
      <c r="P39" s="5">
        <v>-51</v>
      </c>
      <c r="Q39" s="2">
        <v>118</v>
      </c>
      <c r="R39" s="8">
        <v>-265</v>
      </c>
      <c r="S39" s="5">
        <v>138</v>
      </c>
      <c r="U39">
        <v>-7.3387115962417846E-3</v>
      </c>
      <c r="V39">
        <v>9.3671259006228701E-3</v>
      </c>
      <c r="W39">
        <v>-1.0312154787834399E-2</v>
      </c>
      <c r="X39">
        <v>-2.9749936628976698E-2</v>
      </c>
      <c r="Y39">
        <v>0.14535196628365182</v>
      </c>
      <c r="Z39">
        <v>-0.15441080508546576</v>
      </c>
      <c r="AA39">
        <v>-0.18982454284224504</v>
      </c>
      <c r="AB39">
        <v>0.51583058401863546</v>
      </c>
      <c r="AC39">
        <v>-0.17031633216806955</v>
      </c>
      <c r="AD39">
        <v>-0.49288263278964067</v>
      </c>
      <c r="AE39">
        <v>0.489546710755773</v>
      </c>
      <c r="AF39">
        <v>8.3844248055380544E-2</v>
      </c>
      <c r="AG39">
        <v>-0.3244911208007647</v>
      </c>
      <c r="AH39">
        <v>0.10225250136064094</v>
      </c>
      <c r="AI39">
        <v>5.9238499445031137E-2</v>
      </c>
      <c r="AJ39">
        <v>-3.3821815166473396E-2</v>
      </c>
      <c r="AL39">
        <v>4.2632564145606011E-14</v>
      </c>
      <c r="AM39">
        <v>1.9999999999998828</v>
      </c>
      <c r="AN39">
        <v>1.9999999999999218</v>
      </c>
      <c r="AP39">
        <v>344.99999999980616</v>
      </c>
      <c r="AQ39">
        <v>227.99999999983098</v>
      </c>
      <c r="AR39">
        <v>-188.60000000007409</v>
      </c>
      <c r="AT39">
        <f t="shared" si="1"/>
        <v>-1.9383605831535533E-10</v>
      </c>
      <c r="AU39">
        <f t="shared" si="2"/>
        <v>-1.6902390598261263E-10</v>
      </c>
      <c r="AV39">
        <f t="shared" si="3"/>
        <v>-7.4066974775632843E-11</v>
      </c>
    </row>
    <row r="40" spans="4:48" x14ac:dyDescent="0.35">
      <c r="AP40">
        <v>273.99999999942327</v>
      </c>
      <c r="AQ40">
        <v>-169.8000000011495</v>
      </c>
      <c r="AR40">
        <v>-719.10000000127559</v>
      </c>
      <c r="AT40">
        <f t="shared" si="1"/>
        <v>-5.7673332776175812E-10</v>
      </c>
      <c r="AU40">
        <f t="shared" si="2"/>
        <v>-1.1494876162032597E-9</v>
      </c>
      <c r="AV40">
        <f t="shared" si="3"/>
        <v>-1.2756800060742535E-9</v>
      </c>
    </row>
    <row r="41" spans="4:48" x14ac:dyDescent="0.35">
      <c r="AP41">
        <v>143.99999999991849</v>
      </c>
      <c r="AQ41">
        <v>75.299999999884079</v>
      </c>
      <c r="AR41">
        <v>-435.60000000011928</v>
      </c>
      <c r="AT41">
        <f t="shared" si="1"/>
        <v>-8.1513462646398693E-11</v>
      </c>
      <c r="AU41">
        <f t="shared" si="2"/>
        <v>-1.1591794191190274E-10</v>
      </c>
      <c r="AV41">
        <f t="shared" si="3"/>
        <v>-1.1931433618883602E-10</v>
      </c>
    </row>
    <row r="42" spans="4:48" x14ac:dyDescent="0.35">
      <c r="AP42">
        <v>88.000000000123833</v>
      </c>
      <c r="AQ42">
        <v>-77.200000000120809</v>
      </c>
      <c r="AR42">
        <v>-401.20000000024953</v>
      </c>
      <c r="AT42">
        <f t="shared" si="1"/>
        <v>1.2383338798827026E-10</v>
      </c>
      <c r="AU42">
        <f t="shared" si="2"/>
        <v>-1.2080647593393223E-10</v>
      </c>
      <c r="AV42">
        <f t="shared" si="3"/>
        <v>-2.4954260879894719E-10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Audio Data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Robly 18</dc:creator>
  <cp:lastModifiedBy>Robly 18</cp:lastModifiedBy>
  <dcterms:created xsi:type="dcterms:W3CDTF">2026-01-02T22:25:55Z</dcterms:created>
  <dcterms:modified xsi:type="dcterms:W3CDTF">2026-01-25T23:52:36Z</dcterms:modified>
</cp:coreProperties>
</file>