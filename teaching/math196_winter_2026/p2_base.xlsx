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ing\Desktop\theorems\teaching\math196_winter_2026\"/>
    </mc:Choice>
  </mc:AlternateContent>
  <xr:revisionPtr revIDLastSave="0" documentId="13_ncr:1_{4568F760-1A68-444B-9701-9A594D163146}" xr6:coauthVersionLast="47" xr6:coauthVersionMax="47" xr10:uidLastSave="{00000000-0000-0000-0000-000000000000}"/>
  <bookViews>
    <workbookView xWindow="-110" yWindow="-110" windowWidth="19420" windowHeight="10420" activeTab="3" xr2:uid="{16197D43-8831-4364-8EC0-85EE095A1CB3}"/>
  </bookViews>
  <sheets>
    <sheet name="original audio" sheetId="1" r:id="rId1"/>
    <sheet name="mix" sheetId="2" r:id="rId2"/>
    <sheet name="solution" sheetId="3" r:id="rId3"/>
    <sheet name="altsolu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4" l="1" a="1"/>
  <c r="C45" i="4" s="1"/>
  <c r="C24" i="4" a="1"/>
  <c r="C24" i="4" s="1"/>
  <c r="Z45" i="3"/>
  <c r="AA45" i="3"/>
  <c r="AB45" i="3"/>
  <c r="Z46" i="3"/>
  <c r="AA46" i="3"/>
  <c r="AB46" i="3"/>
  <c r="Z47" i="3"/>
  <c r="AA47" i="3"/>
  <c r="AB47" i="3"/>
  <c r="Z48" i="3"/>
  <c r="AA48" i="3"/>
  <c r="AB48" i="3"/>
  <c r="Z49" i="3"/>
  <c r="AA49" i="3"/>
  <c r="AB49" i="3"/>
  <c r="Z50" i="3"/>
  <c r="AA50" i="3"/>
  <c r="AB50" i="3"/>
  <c r="Z51" i="3"/>
  <c r="AA51" i="3"/>
  <c r="AB51" i="3"/>
  <c r="Z52" i="3"/>
  <c r="AA52" i="3"/>
  <c r="AB52" i="3"/>
  <c r="Z53" i="3"/>
  <c r="AA53" i="3"/>
  <c r="AB53" i="3"/>
  <c r="Z54" i="3"/>
  <c r="AA54" i="3"/>
  <c r="AB54" i="3"/>
  <c r="Z55" i="3"/>
  <c r="AA55" i="3"/>
  <c r="AB55" i="3"/>
  <c r="Z56" i="3"/>
  <c r="AA56" i="3"/>
  <c r="AB56" i="3"/>
  <c r="Z57" i="3"/>
  <c r="AA57" i="3"/>
  <c r="AB57" i="3"/>
  <c r="Z58" i="3"/>
  <c r="AA58" i="3"/>
  <c r="AB58" i="3"/>
  <c r="Z59" i="3"/>
  <c r="AA59" i="3"/>
  <c r="AB59" i="3"/>
  <c r="Z60" i="3"/>
  <c r="AA60" i="3"/>
  <c r="AB60" i="3"/>
  <c r="Z61" i="3"/>
  <c r="AA61" i="3"/>
  <c r="AB61" i="3"/>
  <c r="Z62" i="3"/>
  <c r="AA62" i="3"/>
  <c r="AB62" i="3"/>
  <c r="AA44" i="3"/>
  <c r="AB44" i="3"/>
  <c r="Z44" i="3"/>
  <c r="V44" i="3" a="1"/>
  <c r="V44" i="3" s="1"/>
  <c r="R41" i="3" a="1"/>
  <c r="R41" i="3" s="1"/>
  <c r="B41" i="3" a="1"/>
  <c r="B41" i="3" s="1"/>
  <c r="AA23" i="3"/>
  <c r="AA24" i="3"/>
  <c r="AB24" i="3"/>
  <c r="AC24" i="3"/>
  <c r="AA25" i="3"/>
  <c r="AB25" i="3"/>
  <c r="AC25" i="3"/>
  <c r="AA26" i="3"/>
  <c r="AB26" i="3"/>
  <c r="AC26" i="3"/>
  <c r="AA27" i="3"/>
  <c r="AB27" i="3"/>
  <c r="AC27" i="3"/>
  <c r="AA28" i="3"/>
  <c r="AB28" i="3"/>
  <c r="AC28" i="3"/>
  <c r="AA29" i="3"/>
  <c r="AB29" i="3"/>
  <c r="AC29" i="3"/>
  <c r="AA30" i="3"/>
  <c r="AB30" i="3"/>
  <c r="AC30" i="3"/>
  <c r="AA31" i="3"/>
  <c r="AB31" i="3"/>
  <c r="AC31" i="3"/>
  <c r="AA32" i="3"/>
  <c r="AB32" i="3"/>
  <c r="AC32" i="3"/>
  <c r="AA33" i="3"/>
  <c r="AB33" i="3"/>
  <c r="AC33" i="3"/>
  <c r="AA34" i="3"/>
  <c r="AB34" i="3"/>
  <c r="AC34" i="3"/>
  <c r="AA35" i="3"/>
  <c r="AB35" i="3"/>
  <c r="AC35" i="3"/>
  <c r="AA36" i="3"/>
  <c r="AB36" i="3"/>
  <c r="AC36" i="3"/>
  <c r="AA37" i="3"/>
  <c r="AB37" i="3"/>
  <c r="AC37" i="3"/>
  <c r="AA38" i="3"/>
  <c r="AB38" i="3"/>
  <c r="AC38" i="3"/>
  <c r="AA39" i="3"/>
  <c r="AB39" i="3"/>
  <c r="AC39" i="3"/>
  <c r="AA40" i="3"/>
  <c r="AB40" i="3"/>
  <c r="AC40" i="3"/>
  <c r="AA41" i="3"/>
  <c r="AB41" i="3"/>
  <c r="AC41" i="3"/>
  <c r="AB23" i="3"/>
  <c r="AC23" i="3"/>
  <c r="W23" i="3" a="1"/>
  <c r="W23" i="3" s="1"/>
  <c r="S23" i="3" a="1"/>
  <c r="S23" i="3" s="1"/>
  <c r="B23" i="3" a="1"/>
  <c r="B23" i="3" s="1"/>
  <c r="B27" i="2" a="1"/>
  <c r="B27" i="2" s="1"/>
  <c r="S2" i="2" a="1"/>
  <c r="S2" i="2" s="1"/>
  <c r="I24" i="1"/>
  <c r="I25" i="1"/>
  <c r="I26" i="1"/>
  <c r="I27" i="1"/>
  <c r="I2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D9" i="1"/>
  <c r="E9" i="1"/>
  <c r="F9" i="1"/>
  <c r="G9" i="1"/>
  <c r="H9" i="1"/>
  <c r="C9" i="1"/>
  <c r="W24" i="4" l="1" a="1"/>
  <c r="W24" i="4" s="1"/>
  <c r="W45" i="4" a="1"/>
  <c r="W45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<sst xmlns="http://schemas.openxmlformats.org/spreadsheetml/2006/main" count="36" uniqueCount="29">
  <si>
    <t>wav1</t>
  </si>
  <si>
    <t>wav2</t>
  </si>
  <si>
    <t>wav3</t>
  </si>
  <si>
    <t>wav4</t>
  </si>
  <si>
    <t>t</t>
  </si>
  <si>
    <t>sample1</t>
  </si>
  <si>
    <t>sample2</t>
  </si>
  <si>
    <t>sample3</t>
  </si>
  <si>
    <t>sample5</t>
  </si>
  <si>
    <t>sample6</t>
  </si>
  <si>
    <t>sample7</t>
  </si>
  <si>
    <t>latte</t>
  </si>
  <si>
    <t>good</t>
  </si>
  <si>
    <t>bad</t>
  </si>
  <si>
    <t>goodcoef</t>
  </si>
  <si>
    <t>badcoef</t>
  </si>
  <si>
    <t>qcoef</t>
  </si>
  <si>
    <t>q</t>
  </si>
  <si>
    <t>data</t>
  </si>
  <si>
    <t>invtop</t>
  </si>
  <si>
    <t>recovered coeffs</t>
  </si>
  <si>
    <t>sound from reccoef</t>
  </si>
  <si>
    <t>compare</t>
  </si>
  <si>
    <t>without latte</t>
  </si>
  <si>
    <t>recovered</t>
  </si>
  <si>
    <t>datanolatte</t>
  </si>
  <si>
    <t>invnl</t>
  </si>
  <si>
    <t>coeffs</t>
  </si>
  <si>
    <t>invlatte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</si>
</sst>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1CCA1-3AFC-4959-A51A-74765B2B6E31}">
  <dimension ref="A2:I28"/>
  <sheetViews>
    <sheetView topLeftCell="A12" workbookViewId="0">
      <selection activeCell="C23" sqref="C23:H23"/>
    </sheetView>
  </sheetViews>
  <sheetFormatPr defaultRowHeight="14.5" x14ac:dyDescent="0.35"/>
  <sheetData>
    <row r="2" spans="1:9" x14ac:dyDescent="0.35">
      <c r="A2" t="s">
        <v>0</v>
      </c>
      <c r="C2">
        <v>1</v>
      </c>
      <c r="D2">
        <v>5</v>
      </c>
      <c r="E2">
        <v>1</v>
      </c>
      <c r="F2">
        <v>5</v>
      </c>
      <c r="G2">
        <v>-5</v>
      </c>
      <c r="H2">
        <v>8</v>
      </c>
      <c r="I2">
        <v>1</v>
      </c>
    </row>
    <row r="3" spans="1:9" x14ac:dyDescent="0.35">
      <c r="A3" t="s">
        <v>1</v>
      </c>
      <c r="C3">
        <v>2</v>
      </c>
      <c r="D3">
        <v>-2</v>
      </c>
      <c r="E3">
        <v>2</v>
      </c>
      <c r="F3">
        <v>8</v>
      </c>
      <c r="G3">
        <v>1</v>
      </c>
      <c r="H3">
        <v>-2</v>
      </c>
      <c r="I3">
        <v>1</v>
      </c>
    </row>
    <row r="4" spans="1:9" x14ac:dyDescent="0.35">
      <c r="A4" t="s">
        <v>2</v>
      </c>
      <c r="C4">
        <v>3</v>
      </c>
      <c r="D4">
        <v>-1</v>
      </c>
      <c r="E4">
        <v>2</v>
      </c>
      <c r="F4">
        <v>5</v>
      </c>
      <c r="G4">
        <v>2</v>
      </c>
      <c r="H4">
        <v>-6</v>
      </c>
      <c r="I4">
        <v>1</v>
      </c>
    </row>
    <row r="5" spans="1:9" x14ac:dyDescent="0.35">
      <c r="A5" t="s">
        <v>3</v>
      </c>
      <c r="C5">
        <v>1</v>
      </c>
      <c r="D5">
        <v>2</v>
      </c>
      <c r="E5">
        <v>5</v>
      </c>
      <c r="F5">
        <v>3</v>
      </c>
      <c r="G5">
        <v>9</v>
      </c>
      <c r="H5">
        <v>-3</v>
      </c>
      <c r="I5">
        <v>1</v>
      </c>
    </row>
    <row r="8" spans="1:9" x14ac:dyDescent="0.35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11</v>
      </c>
    </row>
    <row r="9" spans="1:9" x14ac:dyDescent="0.35">
      <c r="B9">
        <v>1</v>
      </c>
      <c r="C9">
        <f>ROUND(100*SIN($B9*PI()/16)*(C$2 * COS($B9*PI()/16)+ C$3 * COS($B9*PI()/16 * 2) + C$4 * COS($B9*PI()/16*3) + C$5 * COS($B9*PI())/16*4),0)</f>
        <v>99</v>
      </c>
      <c r="D9">
        <f t="shared" ref="D9:I24" si="0">ROUND(100*SIN($B9*PI()/16)*(D$2 * COS($B9*PI()/16)+ D$3 * COS($B9*PI()/16 * 2) + D$4 * COS($B9*PI()/16*3) + D$5 * COS($B9*PI())/16*4),0)</f>
        <v>34</v>
      </c>
      <c r="E9">
        <f t="shared" si="0"/>
        <v>63</v>
      </c>
      <c r="F9">
        <f t="shared" si="0"/>
        <v>306</v>
      </c>
      <c r="G9">
        <f t="shared" si="0"/>
        <v>-89</v>
      </c>
      <c r="H9">
        <f t="shared" si="0"/>
        <v>34</v>
      </c>
      <c r="I9">
        <f t="shared" si="0"/>
        <v>49</v>
      </c>
    </row>
    <row r="10" spans="1:9" x14ac:dyDescent="0.35">
      <c r="B10">
        <v>2</v>
      </c>
      <c r="C10">
        <f t="shared" ref="C10:C24" si="1">ROUND(100*SIN($B10*PI()/16)*(C$2 * COS($B10*PI()/16)+ C$3 * COS($B10*PI()/16 * 2) + C$4 * COS($B10*PI()/16*3) + C$5 * COS($B10*PI())/16*4),0)</f>
        <v>143</v>
      </c>
      <c r="D10">
        <f t="shared" si="0"/>
        <v>127</v>
      </c>
      <c r="E10">
        <f t="shared" si="0"/>
        <v>167</v>
      </c>
      <c r="F10">
        <f t="shared" si="0"/>
        <v>495</v>
      </c>
      <c r="G10">
        <f t="shared" si="0"/>
        <v>-34</v>
      </c>
      <c r="H10">
        <f t="shared" si="0"/>
        <v>112</v>
      </c>
      <c r="I10">
        <f t="shared" si="0"/>
        <v>87</v>
      </c>
    </row>
    <row r="11" spans="1:9" x14ac:dyDescent="0.35">
      <c r="B11">
        <v>3</v>
      </c>
      <c r="C11">
        <f t="shared" si="1"/>
        <v>42</v>
      </c>
      <c r="D11">
        <f t="shared" si="0"/>
        <v>172</v>
      </c>
      <c r="E11">
        <f t="shared" si="0"/>
        <v>-2</v>
      </c>
      <c r="F11">
        <f t="shared" si="0"/>
        <v>305</v>
      </c>
      <c r="G11">
        <f t="shared" si="0"/>
        <v>-356</v>
      </c>
      <c r="H11">
        <f t="shared" si="0"/>
        <v>434</v>
      </c>
      <c r="I11">
        <f t="shared" si="0"/>
        <v>43</v>
      </c>
    </row>
    <row r="12" spans="1:9" x14ac:dyDescent="0.35">
      <c r="B12">
        <v>4</v>
      </c>
      <c r="C12">
        <f t="shared" si="1"/>
        <v>-82</v>
      </c>
      <c r="D12">
        <f t="shared" si="0"/>
        <v>335</v>
      </c>
      <c r="E12">
        <f t="shared" si="0"/>
        <v>38</v>
      </c>
      <c r="F12">
        <f t="shared" si="0"/>
        <v>53</v>
      </c>
      <c r="G12">
        <f t="shared" si="0"/>
        <v>-191</v>
      </c>
      <c r="H12">
        <f t="shared" si="0"/>
        <v>647</v>
      </c>
      <c r="I12">
        <f t="shared" si="0"/>
        <v>18</v>
      </c>
    </row>
    <row r="13" spans="1:9" x14ac:dyDescent="0.35">
      <c r="B13">
        <v>5</v>
      </c>
      <c r="C13">
        <f t="shared" si="1"/>
        <v>-283</v>
      </c>
      <c r="D13">
        <f t="shared" si="0"/>
        <v>335</v>
      </c>
      <c r="E13">
        <f t="shared" si="0"/>
        <v>-284</v>
      </c>
      <c r="F13">
        <f t="shared" si="0"/>
        <v>-494</v>
      </c>
      <c r="G13">
        <f t="shared" si="0"/>
        <v>-613</v>
      </c>
      <c r="H13">
        <f t="shared" si="0"/>
        <v>985</v>
      </c>
      <c r="I13">
        <f t="shared" si="0"/>
        <v>-88</v>
      </c>
    </row>
    <row r="14" spans="1:9" x14ac:dyDescent="0.35">
      <c r="B14">
        <v>6</v>
      </c>
      <c r="C14">
        <f t="shared" si="1"/>
        <v>-328</v>
      </c>
      <c r="D14">
        <f t="shared" si="0"/>
        <v>439</v>
      </c>
      <c r="E14">
        <f t="shared" si="0"/>
        <v>-151</v>
      </c>
      <c r="F14">
        <f t="shared" si="0"/>
        <v>-703</v>
      </c>
      <c r="G14">
        <f t="shared" si="0"/>
        <v>-205</v>
      </c>
      <c r="H14">
        <f t="shared" si="0"/>
        <v>856</v>
      </c>
      <c r="I14">
        <f t="shared" si="0"/>
        <v>-92</v>
      </c>
    </row>
    <row r="15" spans="1:9" x14ac:dyDescent="0.35">
      <c r="B15">
        <v>7</v>
      </c>
      <c r="C15">
        <f t="shared" si="1"/>
        <v>-350</v>
      </c>
      <c r="D15">
        <f t="shared" si="0"/>
        <v>282</v>
      </c>
      <c r="E15">
        <f t="shared" si="0"/>
        <v>-394</v>
      </c>
      <c r="F15">
        <f t="shared" si="0"/>
        <v>-975</v>
      </c>
      <c r="G15">
        <f t="shared" si="0"/>
        <v>-516</v>
      </c>
      <c r="H15">
        <f t="shared" si="0"/>
        <v>735</v>
      </c>
      <c r="I15">
        <f t="shared" si="0"/>
        <v>-150</v>
      </c>
    </row>
    <row r="16" spans="1:9" x14ac:dyDescent="0.35">
      <c r="B16">
        <v>8</v>
      </c>
      <c r="C16">
        <f t="shared" si="1"/>
        <v>-175</v>
      </c>
      <c r="D16">
        <f t="shared" si="0"/>
        <v>250</v>
      </c>
      <c r="E16">
        <f t="shared" si="0"/>
        <v>-75</v>
      </c>
      <c r="F16">
        <f t="shared" si="0"/>
        <v>-725</v>
      </c>
      <c r="G16">
        <f t="shared" si="0"/>
        <v>125</v>
      </c>
      <c r="H16">
        <f t="shared" si="0"/>
        <v>125</v>
      </c>
      <c r="I16">
        <f t="shared" si="0"/>
        <v>-75</v>
      </c>
    </row>
    <row r="17" spans="2:9" x14ac:dyDescent="0.35">
      <c r="B17">
        <v>9</v>
      </c>
      <c r="C17">
        <f t="shared" si="1"/>
        <v>-61</v>
      </c>
      <c r="D17">
        <f t="shared" si="0"/>
        <v>-18</v>
      </c>
      <c r="E17">
        <f t="shared" si="0"/>
        <v>-214</v>
      </c>
      <c r="F17">
        <f t="shared" si="0"/>
        <v>-622</v>
      </c>
      <c r="G17">
        <f t="shared" si="0"/>
        <v>-107</v>
      </c>
      <c r="H17">
        <f t="shared" si="0"/>
        <v>-225</v>
      </c>
      <c r="I17">
        <f t="shared" si="0"/>
        <v>-80</v>
      </c>
    </row>
    <row r="18" spans="2:9" x14ac:dyDescent="0.35">
      <c r="B18">
        <v>10</v>
      </c>
      <c r="C18">
        <f t="shared" si="1"/>
        <v>113</v>
      </c>
      <c r="D18">
        <f t="shared" si="0"/>
        <v>-85</v>
      </c>
      <c r="E18">
        <f t="shared" si="0"/>
        <v>120</v>
      </c>
      <c r="F18">
        <f t="shared" si="0"/>
        <v>-203</v>
      </c>
      <c r="G18">
        <f t="shared" si="0"/>
        <v>490</v>
      </c>
      <c r="H18">
        <f t="shared" si="0"/>
        <v>-734</v>
      </c>
      <c r="I18">
        <f t="shared" si="0"/>
        <v>8</v>
      </c>
    </row>
    <row r="19" spans="2:9" x14ac:dyDescent="0.35">
      <c r="B19">
        <v>11</v>
      </c>
      <c r="C19">
        <f t="shared" si="1"/>
        <v>114</v>
      </c>
      <c r="D19">
        <f t="shared" si="0"/>
        <v>-290</v>
      </c>
      <c r="E19">
        <f t="shared" si="0"/>
        <v>-51</v>
      </c>
      <c r="F19">
        <f t="shared" si="0"/>
        <v>-140</v>
      </c>
      <c r="G19">
        <f t="shared" si="0"/>
        <v>175</v>
      </c>
      <c r="H19">
        <f t="shared" si="0"/>
        <v>-733</v>
      </c>
      <c r="I19">
        <f t="shared" si="0"/>
        <v>-17</v>
      </c>
    </row>
    <row r="20" spans="2:9" x14ac:dyDescent="0.35">
      <c r="B20">
        <v>12</v>
      </c>
      <c r="C20">
        <f t="shared" si="1"/>
        <v>118</v>
      </c>
      <c r="D20">
        <f t="shared" si="0"/>
        <v>-265</v>
      </c>
      <c r="E20">
        <f t="shared" si="0"/>
        <v>138</v>
      </c>
      <c r="F20">
        <f t="shared" si="0"/>
        <v>53</v>
      </c>
      <c r="G20">
        <f t="shared" si="0"/>
        <v>509</v>
      </c>
      <c r="H20">
        <f t="shared" si="0"/>
        <v>-753</v>
      </c>
      <c r="I20">
        <f t="shared" si="0"/>
        <v>18</v>
      </c>
    </row>
    <row r="21" spans="2:9" x14ac:dyDescent="0.35">
      <c r="B21">
        <v>13</v>
      </c>
      <c r="C21">
        <f t="shared" si="1"/>
        <v>15</v>
      </c>
      <c r="D21">
        <f t="shared" si="0"/>
        <v>-312</v>
      </c>
      <c r="E21">
        <f t="shared" si="0"/>
        <v>-51</v>
      </c>
      <c r="F21">
        <f t="shared" si="0"/>
        <v>-48</v>
      </c>
      <c r="G21">
        <f t="shared" si="0"/>
        <v>149</v>
      </c>
      <c r="H21">
        <f t="shared" si="0"/>
        <v>-435</v>
      </c>
      <c r="I21">
        <f t="shared" si="0"/>
        <v>-28</v>
      </c>
    </row>
    <row r="22" spans="2:9" x14ac:dyDescent="0.35">
      <c r="B22">
        <v>14</v>
      </c>
      <c r="C22">
        <f t="shared" si="1"/>
        <v>-16</v>
      </c>
      <c r="D22">
        <f t="shared" si="0"/>
        <v>-197</v>
      </c>
      <c r="E22">
        <f t="shared" si="0"/>
        <v>37</v>
      </c>
      <c r="F22">
        <f t="shared" si="0"/>
        <v>-5</v>
      </c>
      <c r="G22">
        <f t="shared" si="0"/>
        <v>261</v>
      </c>
      <c r="H22">
        <f t="shared" si="0"/>
        <v>-278</v>
      </c>
      <c r="I22">
        <f t="shared" si="0"/>
        <v>-13</v>
      </c>
    </row>
    <row r="23" spans="2:9" x14ac:dyDescent="0.35">
      <c r="B23">
        <v>15</v>
      </c>
      <c r="C23">
        <f t="shared" si="1"/>
        <v>-37</v>
      </c>
      <c r="D23">
        <f t="shared" si="0"/>
        <v>-125</v>
      </c>
      <c r="E23">
        <f t="shared" si="0"/>
        <v>-40</v>
      </c>
      <c r="F23">
        <f t="shared" si="0"/>
        <v>-47</v>
      </c>
      <c r="G23">
        <f t="shared" si="0"/>
        <v>37</v>
      </c>
      <c r="H23">
        <f t="shared" si="0"/>
        <v>-77</v>
      </c>
      <c r="I23">
        <f t="shared" si="0"/>
        <v>-22</v>
      </c>
    </row>
    <row r="24" spans="2:9" x14ac:dyDescent="0.35">
      <c r="B24">
        <v>16</v>
      </c>
      <c r="I24">
        <f t="shared" si="0"/>
        <v>0</v>
      </c>
    </row>
    <row r="25" spans="2:9" x14ac:dyDescent="0.35">
      <c r="B25">
        <v>17</v>
      </c>
      <c r="I25">
        <f t="shared" ref="I25:I28" si="2">ROUND(100*SIN($B25*PI()/16)*(I$2 * COS($B25*PI()/16)+ I$3 * COS($B25*PI()/16 * 2) + I$4 * COS($B25*PI()/16*3) + I$5 * COS($B25*PI())/16*4),0)</f>
        <v>22</v>
      </c>
    </row>
    <row r="26" spans="2:9" x14ac:dyDescent="0.35">
      <c r="B26">
        <v>18</v>
      </c>
      <c r="I26">
        <f t="shared" si="2"/>
        <v>13</v>
      </c>
    </row>
    <row r="27" spans="2:9" x14ac:dyDescent="0.35">
      <c r="B27">
        <v>19</v>
      </c>
      <c r="I27">
        <f t="shared" si="2"/>
        <v>28</v>
      </c>
    </row>
    <row r="28" spans="2:9" x14ac:dyDescent="0.35">
      <c r="B28">
        <v>20</v>
      </c>
      <c r="I28">
        <f t="shared" si="2"/>
        <v>-18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1501-91B5-45C8-9841-D3EF471E3FE5}">
  <dimension ref="A2:U45"/>
  <sheetViews>
    <sheetView topLeftCell="A19" workbookViewId="0">
      <selection activeCell="B29" sqref="B29"/>
    </sheetView>
  </sheetViews>
  <sheetFormatPr defaultRowHeight="14.5" x14ac:dyDescent="0.35"/>
  <sheetData>
    <row r="2" spans="2:21" x14ac:dyDescent="0.35">
      <c r="B2">
        <v>99</v>
      </c>
      <c r="C2">
        <v>34</v>
      </c>
      <c r="D2">
        <v>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49</v>
      </c>
      <c r="S2" cm="1">
        <f t="array" ref="S2:U17">TRANSPOSE(B22:Q24)</f>
        <v>1.2</v>
      </c>
      <c r="T2">
        <v>0</v>
      </c>
      <c r="U2">
        <v>0.8</v>
      </c>
    </row>
    <row r="3" spans="2:21" x14ac:dyDescent="0.35">
      <c r="B3">
        <v>143</v>
      </c>
      <c r="C3">
        <v>127</v>
      </c>
      <c r="D3">
        <v>167</v>
      </c>
      <c r="E3">
        <v>99</v>
      </c>
      <c r="F3">
        <v>34</v>
      </c>
      <c r="G3">
        <v>63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87</v>
      </c>
      <c r="S3">
        <v>0</v>
      </c>
      <c r="T3">
        <v>0.5</v>
      </c>
      <c r="U3">
        <v>0</v>
      </c>
    </row>
    <row r="4" spans="2:21" x14ac:dyDescent="0.35">
      <c r="B4">
        <v>42</v>
      </c>
      <c r="C4">
        <v>172</v>
      </c>
      <c r="D4">
        <v>-2</v>
      </c>
      <c r="E4">
        <v>143</v>
      </c>
      <c r="F4">
        <v>127</v>
      </c>
      <c r="G4">
        <v>167</v>
      </c>
      <c r="H4">
        <v>99</v>
      </c>
      <c r="I4">
        <v>34</v>
      </c>
      <c r="J4">
        <v>63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43</v>
      </c>
      <c r="S4">
        <v>0</v>
      </c>
      <c r="T4">
        <v>0.5</v>
      </c>
      <c r="U4">
        <v>0</v>
      </c>
    </row>
    <row r="5" spans="2:21" x14ac:dyDescent="0.35">
      <c r="B5">
        <v>-82</v>
      </c>
      <c r="C5">
        <v>335</v>
      </c>
      <c r="D5">
        <v>38</v>
      </c>
      <c r="E5">
        <v>42</v>
      </c>
      <c r="F5">
        <v>172</v>
      </c>
      <c r="G5">
        <v>-2</v>
      </c>
      <c r="H5">
        <v>143</v>
      </c>
      <c r="I5">
        <v>127</v>
      </c>
      <c r="J5">
        <v>167</v>
      </c>
      <c r="K5">
        <v>99</v>
      </c>
      <c r="L5">
        <v>34</v>
      </c>
      <c r="M5">
        <v>63</v>
      </c>
      <c r="N5">
        <v>0</v>
      </c>
      <c r="O5">
        <v>0</v>
      </c>
      <c r="P5">
        <v>0</v>
      </c>
      <c r="Q5">
        <v>18</v>
      </c>
      <c r="S5">
        <v>1</v>
      </c>
      <c r="T5">
        <v>0</v>
      </c>
      <c r="U5">
        <v>0</v>
      </c>
    </row>
    <row r="6" spans="2:21" x14ac:dyDescent="0.35">
      <c r="B6">
        <v>-283</v>
      </c>
      <c r="C6">
        <v>335</v>
      </c>
      <c r="D6">
        <v>-284</v>
      </c>
      <c r="E6">
        <v>-82</v>
      </c>
      <c r="F6">
        <v>335</v>
      </c>
      <c r="G6">
        <v>38</v>
      </c>
      <c r="H6">
        <v>42</v>
      </c>
      <c r="I6">
        <v>172</v>
      </c>
      <c r="J6">
        <v>-2</v>
      </c>
      <c r="K6">
        <v>143</v>
      </c>
      <c r="L6">
        <v>127</v>
      </c>
      <c r="M6">
        <v>167</v>
      </c>
      <c r="N6">
        <v>99</v>
      </c>
      <c r="O6">
        <v>34</v>
      </c>
      <c r="P6">
        <v>63</v>
      </c>
      <c r="Q6">
        <v>-88</v>
      </c>
      <c r="S6">
        <v>0</v>
      </c>
      <c r="T6">
        <v>0</v>
      </c>
      <c r="U6">
        <v>0.2</v>
      </c>
    </row>
    <row r="7" spans="2:21" x14ac:dyDescent="0.35">
      <c r="B7">
        <v>-328</v>
      </c>
      <c r="C7">
        <v>439</v>
      </c>
      <c r="D7">
        <v>-151</v>
      </c>
      <c r="E7">
        <v>-283</v>
      </c>
      <c r="F7">
        <v>335</v>
      </c>
      <c r="G7">
        <v>-284</v>
      </c>
      <c r="H7">
        <v>-82</v>
      </c>
      <c r="I7">
        <v>335</v>
      </c>
      <c r="J7">
        <v>38</v>
      </c>
      <c r="K7">
        <v>42</v>
      </c>
      <c r="L7">
        <v>172</v>
      </c>
      <c r="M7">
        <v>-2</v>
      </c>
      <c r="N7">
        <v>143</v>
      </c>
      <c r="O7">
        <v>127</v>
      </c>
      <c r="P7">
        <v>167</v>
      </c>
      <c r="Q7">
        <v>-92</v>
      </c>
      <c r="S7">
        <v>0</v>
      </c>
      <c r="T7">
        <v>0</v>
      </c>
      <c r="U7">
        <v>0.1</v>
      </c>
    </row>
    <row r="8" spans="2:21" x14ac:dyDescent="0.35">
      <c r="B8">
        <v>-350</v>
      </c>
      <c r="C8">
        <v>282</v>
      </c>
      <c r="D8">
        <v>-394</v>
      </c>
      <c r="E8">
        <v>-328</v>
      </c>
      <c r="F8">
        <v>439</v>
      </c>
      <c r="G8">
        <v>-151</v>
      </c>
      <c r="H8">
        <v>-283</v>
      </c>
      <c r="I8">
        <v>335</v>
      </c>
      <c r="J8">
        <v>-284</v>
      </c>
      <c r="K8">
        <v>-82</v>
      </c>
      <c r="L8">
        <v>335</v>
      </c>
      <c r="M8">
        <v>38</v>
      </c>
      <c r="N8">
        <v>42</v>
      </c>
      <c r="O8">
        <v>172</v>
      </c>
      <c r="P8">
        <v>-2</v>
      </c>
      <c r="Q8">
        <v>-150</v>
      </c>
      <c r="S8">
        <v>1</v>
      </c>
      <c r="T8">
        <v>1</v>
      </c>
      <c r="U8">
        <v>0</v>
      </c>
    </row>
    <row r="9" spans="2:21" x14ac:dyDescent="0.35">
      <c r="B9">
        <v>-175</v>
      </c>
      <c r="C9">
        <v>250</v>
      </c>
      <c r="D9">
        <v>-75</v>
      </c>
      <c r="E9">
        <v>-350</v>
      </c>
      <c r="F9">
        <v>282</v>
      </c>
      <c r="G9">
        <v>-394</v>
      </c>
      <c r="H9">
        <v>-328</v>
      </c>
      <c r="I9">
        <v>439</v>
      </c>
      <c r="J9">
        <v>-151</v>
      </c>
      <c r="K9">
        <v>-283</v>
      </c>
      <c r="L9">
        <v>335</v>
      </c>
      <c r="M9">
        <v>-284</v>
      </c>
      <c r="N9">
        <v>-82</v>
      </c>
      <c r="O9">
        <v>335</v>
      </c>
      <c r="P9">
        <v>38</v>
      </c>
      <c r="Q9">
        <v>-75</v>
      </c>
      <c r="S9">
        <v>0</v>
      </c>
      <c r="T9">
        <v>0.2</v>
      </c>
      <c r="U9">
        <v>0</v>
      </c>
    </row>
    <row r="10" spans="2:21" x14ac:dyDescent="0.35">
      <c r="B10">
        <v>-61</v>
      </c>
      <c r="C10">
        <v>-18</v>
      </c>
      <c r="D10">
        <v>-214</v>
      </c>
      <c r="E10">
        <v>-175</v>
      </c>
      <c r="F10">
        <v>250</v>
      </c>
      <c r="G10">
        <v>-75</v>
      </c>
      <c r="H10">
        <v>-350</v>
      </c>
      <c r="I10">
        <v>282</v>
      </c>
      <c r="J10">
        <v>-394</v>
      </c>
      <c r="K10">
        <v>-328</v>
      </c>
      <c r="L10">
        <v>439</v>
      </c>
      <c r="M10">
        <v>-151</v>
      </c>
      <c r="N10">
        <v>-283</v>
      </c>
      <c r="O10">
        <v>335</v>
      </c>
      <c r="P10">
        <v>-284</v>
      </c>
      <c r="Q10">
        <v>-80</v>
      </c>
      <c r="S10">
        <v>0</v>
      </c>
      <c r="T10">
        <v>0.2</v>
      </c>
      <c r="U10">
        <v>0</v>
      </c>
    </row>
    <row r="11" spans="2:21" x14ac:dyDescent="0.35">
      <c r="B11">
        <v>113</v>
      </c>
      <c r="C11">
        <v>-85</v>
      </c>
      <c r="D11">
        <v>120</v>
      </c>
      <c r="E11">
        <v>-61</v>
      </c>
      <c r="F11">
        <v>-18</v>
      </c>
      <c r="G11">
        <v>-214</v>
      </c>
      <c r="H11">
        <v>-175</v>
      </c>
      <c r="I11">
        <v>250</v>
      </c>
      <c r="J11">
        <v>-75</v>
      </c>
      <c r="K11">
        <v>-350</v>
      </c>
      <c r="L11">
        <v>282</v>
      </c>
      <c r="M11">
        <v>-394</v>
      </c>
      <c r="N11">
        <v>-328</v>
      </c>
      <c r="O11">
        <v>439</v>
      </c>
      <c r="P11">
        <v>-151</v>
      </c>
      <c r="Q11">
        <v>8</v>
      </c>
      <c r="S11">
        <v>1</v>
      </c>
      <c r="T11">
        <v>0</v>
      </c>
      <c r="U11">
        <v>0.2</v>
      </c>
    </row>
    <row r="12" spans="2:21" x14ac:dyDescent="0.35">
      <c r="B12">
        <v>114</v>
      </c>
      <c r="C12">
        <v>-290</v>
      </c>
      <c r="D12">
        <v>-51</v>
      </c>
      <c r="E12">
        <v>113</v>
      </c>
      <c r="F12">
        <v>-85</v>
      </c>
      <c r="G12">
        <v>120</v>
      </c>
      <c r="H12">
        <v>-61</v>
      </c>
      <c r="I12">
        <v>-18</v>
      </c>
      <c r="J12">
        <v>-214</v>
      </c>
      <c r="K12">
        <v>-175</v>
      </c>
      <c r="L12">
        <v>250</v>
      </c>
      <c r="M12">
        <v>-75</v>
      </c>
      <c r="N12">
        <v>-350</v>
      </c>
      <c r="O12">
        <v>282</v>
      </c>
      <c r="P12">
        <v>-394</v>
      </c>
      <c r="Q12">
        <v>-17</v>
      </c>
      <c r="S12">
        <v>0</v>
      </c>
      <c r="T12">
        <v>0</v>
      </c>
      <c r="U12">
        <v>0.3</v>
      </c>
    </row>
    <row r="13" spans="2:21" x14ac:dyDescent="0.35">
      <c r="B13">
        <v>118</v>
      </c>
      <c r="C13">
        <v>-265</v>
      </c>
      <c r="D13">
        <v>138</v>
      </c>
      <c r="E13">
        <v>114</v>
      </c>
      <c r="F13">
        <v>-290</v>
      </c>
      <c r="G13">
        <v>-51</v>
      </c>
      <c r="H13">
        <v>113</v>
      </c>
      <c r="I13">
        <v>-85</v>
      </c>
      <c r="J13">
        <v>120</v>
      </c>
      <c r="K13">
        <v>-61</v>
      </c>
      <c r="L13">
        <v>-18</v>
      </c>
      <c r="M13">
        <v>-214</v>
      </c>
      <c r="N13">
        <v>-175</v>
      </c>
      <c r="O13">
        <v>250</v>
      </c>
      <c r="P13">
        <v>-75</v>
      </c>
      <c r="Q13">
        <v>18</v>
      </c>
      <c r="S13">
        <v>0</v>
      </c>
      <c r="T13">
        <v>0</v>
      </c>
      <c r="U13">
        <v>1</v>
      </c>
    </row>
    <row r="14" spans="2:21" x14ac:dyDescent="0.35">
      <c r="B14">
        <v>15</v>
      </c>
      <c r="C14">
        <v>-312</v>
      </c>
      <c r="D14">
        <v>-51</v>
      </c>
      <c r="E14">
        <v>118</v>
      </c>
      <c r="F14">
        <v>-265</v>
      </c>
      <c r="G14">
        <v>138</v>
      </c>
      <c r="H14">
        <v>114</v>
      </c>
      <c r="I14">
        <v>-290</v>
      </c>
      <c r="J14">
        <v>-51</v>
      </c>
      <c r="K14">
        <v>113</v>
      </c>
      <c r="L14">
        <v>-85</v>
      </c>
      <c r="M14">
        <v>120</v>
      </c>
      <c r="N14">
        <v>-61</v>
      </c>
      <c r="O14">
        <v>-18</v>
      </c>
      <c r="P14">
        <v>-214</v>
      </c>
      <c r="Q14">
        <v>-28</v>
      </c>
      <c r="S14">
        <v>1</v>
      </c>
      <c r="T14">
        <v>0</v>
      </c>
      <c r="U14">
        <v>2</v>
      </c>
    </row>
    <row r="15" spans="2:21" x14ac:dyDescent="0.35">
      <c r="B15">
        <v>-16</v>
      </c>
      <c r="C15">
        <v>-197</v>
      </c>
      <c r="D15">
        <v>37</v>
      </c>
      <c r="E15">
        <v>15</v>
      </c>
      <c r="F15">
        <v>-312</v>
      </c>
      <c r="G15">
        <v>-51</v>
      </c>
      <c r="H15">
        <v>118</v>
      </c>
      <c r="I15">
        <v>-265</v>
      </c>
      <c r="J15">
        <v>138</v>
      </c>
      <c r="K15">
        <v>114</v>
      </c>
      <c r="L15">
        <v>-290</v>
      </c>
      <c r="M15">
        <v>-51</v>
      </c>
      <c r="N15">
        <v>113</v>
      </c>
      <c r="O15">
        <v>-85</v>
      </c>
      <c r="P15">
        <v>120</v>
      </c>
      <c r="Q15">
        <v>-13</v>
      </c>
      <c r="S15">
        <v>-1</v>
      </c>
      <c r="T15">
        <v>0</v>
      </c>
      <c r="U15">
        <v>2</v>
      </c>
    </row>
    <row r="16" spans="2:21" x14ac:dyDescent="0.35">
      <c r="B16">
        <v>-37</v>
      </c>
      <c r="C16">
        <v>-125</v>
      </c>
      <c r="D16">
        <v>-40</v>
      </c>
      <c r="E16">
        <v>-16</v>
      </c>
      <c r="F16">
        <v>-197</v>
      </c>
      <c r="G16">
        <v>37</v>
      </c>
      <c r="H16">
        <v>15</v>
      </c>
      <c r="I16">
        <v>-312</v>
      </c>
      <c r="J16">
        <v>-51</v>
      </c>
      <c r="K16">
        <v>118</v>
      </c>
      <c r="L16">
        <v>-265</v>
      </c>
      <c r="M16">
        <v>138</v>
      </c>
      <c r="N16">
        <v>114</v>
      </c>
      <c r="O16">
        <v>-290</v>
      </c>
      <c r="P16">
        <v>-51</v>
      </c>
      <c r="Q16">
        <v>-22</v>
      </c>
      <c r="S16">
        <v>0</v>
      </c>
      <c r="T16">
        <v>2</v>
      </c>
      <c r="U16">
        <v>2</v>
      </c>
    </row>
    <row r="17" spans="1:21" x14ac:dyDescent="0.35">
      <c r="B17">
        <v>0</v>
      </c>
      <c r="C17">
        <v>0</v>
      </c>
      <c r="D17">
        <v>0</v>
      </c>
      <c r="E17">
        <v>-37</v>
      </c>
      <c r="F17">
        <v>-125</v>
      </c>
      <c r="G17">
        <v>-40</v>
      </c>
      <c r="H17">
        <v>-16</v>
      </c>
      <c r="I17">
        <v>-197</v>
      </c>
      <c r="J17">
        <v>37</v>
      </c>
      <c r="K17">
        <v>15</v>
      </c>
      <c r="L17">
        <v>-312</v>
      </c>
      <c r="M17">
        <v>-51</v>
      </c>
      <c r="N17">
        <v>118</v>
      </c>
      <c r="O17">
        <v>-265</v>
      </c>
      <c r="P17">
        <v>138</v>
      </c>
      <c r="Q17">
        <v>0</v>
      </c>
      <c r="S17">
        <v>0</v>
      </c>
      <c r="T17">
        <v>0.1</v>
      </c>
      <c r="U17">
        <v>0.1</v>
      </c>
    </row>
    <row r="18" spans="1:21" x14ac:dyDescent="0.35"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-37</v>
      </c>
      <c r="I18">
        <v>-125</v>
      </c>
      <c r="J18">
        <v>-40</v>
      </c>
      <c r="K18">
        <v>-16</v>
      </c>
      <c r="L18">
        <v>-197</v>
      </c>
      <c r="M18">
        <v>37</v>
      </c>
      <c r="N18">
        <v>15</v>
      </c>
      <c r="O18">
        <v>-312</v>
      </c>
      <c r="P18">
        <v>-51</v>
      </c>
      <c r="Q18">
        <v>22</v>
      </c>
    </row>
    <row r="19" spans="1:21" x14ac:dyDescent="0.35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-37</v>
      </c>
      <c r="L19">
        <v>-125</v>
      </c>
      <c r="M19">
        <v>-40</v>
      </c>
      <c r="N19">
        <v>-16</v>
      </c>
      <c r="O19">
        <v>-197</v>
      </c>
      <c r="P19">
        <v>37</v>
      </c>
      <c r="Q19">
        <v>13</v>
      </c>
    </row>
    <row r="20" spans="1:21" x14ac:dyDescent="0.35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-37</v>
      </c>
      <c r="O20">
        <v>-125</v>
      </c>
      <c r="P20">
        <v>-40</v>
      </c>
      <c r="Q20">
        <v>28</v>
      </c>
    </row>
    <row r="22" spans="1:21" x14ac:dyDescent="0.35">
      <c r="A22" t="s">
        <v>14</v>
      </c>
      <c r="B22">
        <v>1.2</v>
      </c>
      <c r="C22">
        <v>0</v>
      </c>
      <c r="D22">
        <v>0</v>
      </c>
      <c r="E22">
        <v>1</v>
      </c>
      <c r="F22">
        <v>0</v>
      </c>
      <c r="G22">
        <v>0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-1</v>
      </c>
      <c r="P22">
        <v>0</v>
      </c>
      <c r="Q22">
        <v>0</v>
      </c>
    </row>
    <row r="23" spans="1:21" x14ac:dyDescent="0.35">
      <c r="A23" t="s">
        <v>15</v>
      </c>
      <c r="B23">
        <v>0</v>
      </c>
      <c r="C23">
        <v>0.5</v>
      </c>
      <c r="D23">
        <v>0.5</v>
      </c>
      <c r="E23">
        <v>0</v>
      </c>
      <c r="F23">
        <v>0</v>
      </c>
      <c r="G23">
        <v>0</v>
      </c>
      <c r="H23">
        <v>1</v>
      </c>
      <c r="I23">
        <v>0.2</v>
      </c>
      <c r="J23">
        <v>0.2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0.1</v>
      </c>
    </row>
    <row r="24" spans="1:21" x14ac:dyDescent="0.35">
      <c r="A24" t="s">
        <v>16</v>
      </c>
      <c r="B24">
        <v>0.8</v>
      </c>
      <c r="C24">
        <v>0</v>
      </c>
      <c r="D24">
        <v>0</v>
      </c>
      <c r="E24">
        <v>0</v>
      </c>
      <c r="F24">
        <v>0.2</v>
      </c>
      <c r="G24">
        <v>0.1</v>
      </c>
      <c r="H24">
        <v>0</v>
      </c>
      <c r="I24">
        <v>0</v>
      </c>
      <c r="J24">
        <v>0</v>
      </c>
      <c r="K24">
        <v>0.2</v>
      </c>
      <c r="L24">
        <v>0.3</v>
      </c>
      <c r="M24">
        <v>1</v>
      </c>
      <c r="N24">
        <v>2</v>
      </c>
      <c r="O24">
        <v>2</v>
      </c>
      <c r="P24">
        <v>2</v>
      </c>
      <c r="Q24">
        <v>0.1</v>
      </c>
    </row>
    <row r="26" spans="1:21" x14ac:dyDescent="0.35">
      <c r="B26" t="s">
        <v>12</v>
      </c>
      <c r="C26" t="s">
        <v>13</v>
      </c>
      <c r="D26" t="s">
        <v>17</v>
      </c>
    </row>
    <row r="27" spans="1:21" x14ac:dyDescent="0.35">
      <c r="B27" cm="1">
        <f t="array" ref="B27:D45">MMULT(B2:Q20,_xlfn.ANCHORARRAY(S2))</f>
        <v>118.8</v>
      </c>
      <c r="C27">
        <v>53.4</v>
      </c>
      <c r="D27">
        <v>84.100000000000009</v>
      </c>
    </row>
    <row r="28" spans="1:21" x14ac:dyDescent="0.35">
      <c r="B28">
        <v>270.60000000000002</v>
      </c>
      <c r="C28">
        <v>155.69999999999999</v>
      </c>
      <c r="D28">
        <v>136.19999999999999</v>
      </c>
    </row>
    <row r="29" spans="1:21" x14ac:dyDescent="0.35">
      <c r="B29">
        <v>292.39999999999998</v>
      </c>
      <c r="C29">
        <v>207.70000000000002</v>
      </c>
      <c r="D29">
        <v>80</v>
      </c>
    </row>
    <row r="30" spans="1:21" x14ac:dyDescent="0.35">
      <c r="B30">
        <v>185.60000000000002</v>
      </c>
      <c r="C30">
        <v>390.09999999999997</v>
      </c>
      <c r="D30">
        <v>63.399999999999991</v>
      </c>
    </row>
    <row r="31" spans="1:21" x14ac:dyDescent="0.35">
      <c r="B31">
        <v>-171.59999999999997</v>
      </c>
      <c r="C31">
        <v>218.7</v>
      </c>
      <c r="D31">
        <v>461.3</v>
      </c>
    </row>
    <row r="32" spans="1:21" x14ac:dyDescent="0.35">
      <c r="B32">
        <v>-700.59999999999991</v>
      </c>
      <c r="C32">
        <v>461.40000000000003</v>
      </c>
      <c r="D32">
        <v>698.99999999999989</v>
      </c>
    </row>
    <row r="33" spans="2:4" x14ac:dyDescent="0.35">
      <c r="B33">
        <v>-1243</v>
      </c>
      <c r="C33">
        <v>-347.8</v>
      </c>
      <c r="D33">
        <v>323.8</v>
      </c>
    </row>
    <row r="34" spans="2:4" x14ac:dyDescent="0.35">
      <c r="B34">
        <v>-1588</v>
      </c>
      <c r="C34">
        <v>-114.39999999999998</v>
      </c>
      <c r="D34">
        <v>211.39999999999998</v>
      </c>
    </row>
    <row r="35" spans="2:4" x14ac:dyDescent="0.35">
      <c r="B35">
        <v>-1544.2</v>
      </c>
      <c r="C35">
        <v>-1064.4000000000001</v>
      </c>
      <c r="D35">
        <v>-563.20000000000005</v>
      </c>
    </row>
    <row r="36" spans="2:4" x14ac:dyDescent="0.35">
      <c r="B36">
        <v>-1217.4000000000001</v>
      </c>
      <c r="C36">
        <v>-423.7</v>
      </c>
      <c r="D36">
        <v>-393.2</v>
      </c>
    </row>
    <row r="37" spans="2:4" x14ac:dyDescent="0.35">
      <c r="B37">
        <v>-618.20000000000005</v>
      </c>
      <c r="C37">
        <v>-1067.6000000000001</v>
      </c>
      <c r="D37">
        <v>-874.5</v>
      </c>
    </row>
    <row r="38" spans="2:4" x14ac:dyDescent="0.35">
      <c r="B38">
        <v>-117.39999999999998</v>
      </c>
      <c r="C38">
        <v>-91.7</v>
      </c>
      <c r="D38">
        <v>-198.49999999999994</v>
      </c>
    </row>
    <row r="39" spans="2:4" x14ac:dyDescent="0.35">
      <c r="B39">
        <v>320</v>
      </c>
      <c r="C39">
        <v>-566.5</v>
      </c>
      <c r="D39">
        <v>-498.90000000000003</v>
      </c>
    </row>
    <row r="40" spans="2:4" x14ac:dyDescent="0.35">
      <c r="B40">
        <v>425.8</v>
      </c>
      <c r="C40">
        <v>251.29999999999998</v>
      </c>
      <c r="D40">
        <v>99.2</v>
      </c>
    </row>
    <row r="41" spans="2:4" x14ac:dyDescent="0.35">
      <c r="B41">
        <v>476.6</v>
      </c>
      <c r="C41">
        <v>-244.29999999999998</v>
      </c>
      <c r="D41">
        <v>-439.4</v>
      </c>
    </row>
    <row r="42" spans="2:4" x14ac:dyDescent="0.35">
      <c r="B42">
        <v>345</v>
      </c>
      <c r="C42">
        <v>228</v>
      </c>
      <c r="D42">
        <v>-188.60000000000002</v>
      </c>
    </row>
    <row r="43" spans="2:4" x14ac:dyDescent="0.35">
      <c r="B43">
        <v>274</v>
      </c>
      <c r="C43">
        <v>-169.8</v>
      </c>
      <c r="D43">
        <v>-719.09999999999991</v>
      </c>
    </row>
    <row r="44" spans="2:4" x14ac:dyDescent="0.35">
      <c r="B44">
        <v>144</v>
      </c>
      <c r="C44">
        <v>75.3</v>
      </c>
      <c r="D44">
        <v>-435.59999999999997</v>
      </c>
    </row>
    <row r="45" spans="2:4" x14ac:dyDescent="0.35">
      <c r="B45">
        <v>88</v>
      </c>
      <c r="C45">
        <v>-77.2</v>
      </c>
      <c r="D45">
        <v>-401.2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1294-2D40-4CCA-8661-D54A76CBBD67}">
  <dimension ref="B1:AC62"/>
  <sheetViews>
    <sheetView zoomScaleNormal="100" workbookViewId="0">
      <selection activeCell="Z27" sqref="Z27"/>
    </sheetView>
  </sheetViews>
  <sheetFormatPr defaultRowHeight="14.5" x14ac:dyDescent="0.35"/>
  <cols>
    <col min="26" max="27" width="11.81640625" bestFit="1" customWidth="1"/>
  </cols>
  <sheetData>
    <row r="1" spans="2:21" x14ac:dyDescent="0.35">
      <c r="B1" t="s">
        <v>12</v>
      </c>
      <c r="C1" t="s">
        <v>13</v>
      </c>
      <c r="D1" t="s">
        <v>17</v>
      </c>
      <c r="F1" t="s">
        <v>18</v>
      </c>
    </row>
    <row r="2" spans="2:21" x14ac:dyDescent="0.35">
      <c r="B2">
        <v>118.8</v>
      </c>
      <c r="C2">
        <v>53.4</v>
      </c>
      <c r="D2">
        <v>84.100000000000009</v>
      </c>
      <c r="F2">
        <v>99</v>
      </c>
      <c r="G2">
        <v>34</v>
      </c>
      <c r="H2">
        <v>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</v>
      </c>
    </row>
    <row r="3" spans="2:21" x14ac:dyDescent="0.35">
      <c r="B3">
        <v>270.60000000000002</v>
      </c>
      <c r="C3">
        <v>155.69999999999999</v>
      </c>
      <c r="D3">
        <v>136.19999999999999</v>
      </c>
      <c r="F3">
        <v>143</v>
      </c>
      <c r="G3">
        <v>127</v>
      </c>
      <c r="H3">
        <v>167</v>
      </c>
      <c r="I3">
        <v>99</v>
      </c>
      <c r="J3">
        <v>34</v>
      </c>
      <c r="K3">
        <v>63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87</v>
      </c>
    </row>
    <row r="4" spans="2:21" x14ac:dyDescent="0.35">
      <c r="B4">
        <v>292.39999999999998</v>
      </c>
      <c r="C4">
        <v>207.70000000000002</v>
      </c>
      <c r="D4">
        <v>80</v>
      </c>
      <c r="F4">
        <v>42</v>
      </c>
      <c r="G4">
        <v>172</v>
      </c>
      <c r="H4">
        <v>-2</v>
      </c>
      <c r="I4">
        <v>143</v>
      </c>
      <c r="J4">
        <v>127</v>
      </c>
      <c r="K4">
        <v>167</v>
      </c>
      <c r="L4">
        <v>99</v>
      </c>
      <c r="M4">
        <v>34</v>
      </c>
      <c r="N4">
        <v>63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43</v>
      </c>
    </row>
    <row r="5" spans="2:21" x14ac:dyDescent="0.35">
      <c r="B5">
        <v>185.60000000000002</v>
      </c>
      <c r="C5">
        <v>390.09999999999997</v>
      </c>
      <c r="D5">
        <v>63.399999999999991</v>
      </c>
      <c r="F5">
        <v>-82</v>
      </c>
      <c r="G5">
        <v>335</v>
      </c>
      <c r="H5">
        <v>38</v>
      </c>
      <c r="I5">
        <v>42</v>
      </c>
      <c r="J5">
        <v>172</v>
      </c>
      <c r="K5">
        <v>-2</v>
      </c>
      <c r="L5">
        <v>143</v>
      </c>
      <c r="M5">
        <v>127</v>
      </c>
      <c r="N5">
        <v>167</v>
      </c>
      <c r="O5">
        <v>99</v>
      </c>
      <c r="P5">
        <v>34</v>
      </c>
      <c r="Q5">
        <v>63</v>
      </c>
      <c r="R5">
        <v>0</v>
      </c>
      <c r="S5">
        <v>0</v>
      </c>
      <c r="T5">
        <v>0</v>
      </c>
      <c r="U5">
        <v>18</v>
      </c>
    </row>
    <row r="6" spans="2:21" x14ac:dyDescent="0.35">
      <c r="B6">
        <v>-171.59999999999997</v>
      </c>
      <c r="C6">
        <v>218.7</v>
      </c>
      <c r="D6">
        <v>461.3</v>
      </c>
      <c r="F6">
        <v>-283</v>
      </c>
      <c r="G6">
        <v>335</v>
      </c>
      <c r="H6">
        <v>-284</v>
      </c>
      <c r="I6">
        <v>-82</v>
      </c>
      <c r="J6">
        <v>335</v>
      </c>
      <c r="K6">
        <v>38</v>
      </c>
      <c r="L6">
        <v>42</v>
      </c>
      <c r="M6">
        <v>172</v>
      </c>
      <c r="N6">
        <v>-2</v>
      </c>
      <c r="O6">
        <v>143</v>
      </c>
      <c r="P6">
        <v>127</v>
      </c>
      <c r="Q6">
        <v>167</v>
      </c>
      <c r="R6">
        <v>99</v>
      </c>
      <c r="S6">
        <v>34</v>
      </c>
      <c r="T6">
        <v>63</v>
      </c>
      <c r="U6">
        <v>-88</v>
      </c>
    </row>
    <row r="7" spans="2:21" x14ac:dyDescent="0.35">
      <c r="B7">
        <v>-700.59999999999991</v>
      </c>
      <c r="C7">
        <v>461.40000000000003</v>
      </c>
      <c r="D7">
        <v>698.99999999999989</v>
      </c>
      <c r="F7">
        <v>-328</v>
      </c>
      <c r="G7">
        <v>439</v>
      </c>
      <c r="H7">
        <v>-151</v>
      </c>
      <c r="I7">
        <v>-283</v>
      </c>
      <c r="J7">
        <v>335</v>
      </c>
      <c r="K7">
        <v>-284</v>
      </c>
      <c r="L7">
        <v>-82</v>
      </c>
      <c r="M7">
        <v>335</v>
      </c>
      <c r="N7">
        <v>38</v>
      </c>
      <c r="O7">
        <v>42</v>
      </c>
      <c r="P7">
        <v>172</v>
      </c>
      <c r="Q7">
        <v>-2</v>
      </c>
      <c r="R7">
        <v>143</v>
      </c>
      <c r="S7">
        <v>127</v>
      </c>
      <c r="T7">
        <v>167</v>
      </c>
      <c r="U7">
        <v>-92</v>
      </c>
    </row>
    <row r="8" spans="2:21" x14ac:dyDescent="0.35">
      <c r="B8">
        <v>-1243</v>
      </c>
      <c r="C8">
        <v>-347.8</v>
      </c>
      <c r="D8">
        <v>323.8</v>
      </c>
      <c r="F8">
        <v>-350</v>
      </c>
      <c r="G8">
        <v>282</v>
      </c>
      <c r="H8">
        <v>-394</v>
      </c>
      <c r="I8">
        <v>-328</v>
      </c>
      <c r="J8">
        <v>439</v>
      </c>
      <c r="K8">
        <v>-151</v>
      </c>
      <c r="L8">
        <v>-283</v>
      </c>
      <c r="M8">
        <v>335</v>
      </c>
      <c r="N8">
        <v>-284</v>
      </c>
      <c r="O8">
        <v>-82</v>
      </c>
      <c r="P8">
        <v>335</v>
      </c>
      <c r="Q8">
        <v>38</v>
      </c>
      <c r="R8">
        <v>42</v>
      </c>
      <c r="S8">
        <v>172</v>
      </c>
      <c r="T8">
        <v>-2</v>
      </c>
      <c r="U8">
        <v>-150</v>
      </c>
    </row>
    <row r="9" spans="2:21" x14ac:dyDescent="0.35">
      <c r="B9">
        <v>-1588</v>
      </c>
      <c r="C9">
        <v>-114.39999999999998</v>
      </c>
      <c r="D9">
        <v>211.39999999999998</v>
      </c>
      <c r="F9">
        <v>-175</v>
      </c>
      <c r="G9">
        <v>250</v>
      </c>
      <c r="H9">
        <v>-75</v>
      </c>
      <c r="I9">
        <v>-350</v>
      </c>
      <c r="J9">
        <v>282</v>
      </c>
      <c r="K9">
        <v>-394</v>
      </c>
      <c r="L9">
        <v>-328</v>
      </c>
      <c r="M9">
        <v>439</v>
      </c>
      <c r="N9">
        <v>-151</v>
      </c>
      <c r="O9">
        <v>-283</v>
      </c>
      <c r="P9">
        <v>335</v>
      </c>
      <c r="Q9">
        <v>-284</v>
      </c>
      <c r="R9">
        <v>-82</v>
      </c>
      <c r="S9">
        <v>335</v>
      </c>
      <c r="T9">
        <v>38</v>
      </c>
      <c r="U9">
        <v>-75</v>
      </c>
    </row>
    <row r="10" spans="2:21" x14ac:dyDescent="0.35">
      <c r="B10">
        <v>-1544.2</v>
      </c>
      <c r="C10">
        <v>-1064.4000000000001</v>
      </c>
      <c r="D10">
        <v>-563.20000000000005</v>
      </c>
      <c r="F10">
        <v>-61</v>
      </c>
      <c r="G10">
        <v>-18</v>
      </c>
      <c r="H10">
        <v>-214</v>
      </c>
      <c r="I10">
        <v>-175</v>
      </c>
      <c r="J10">
        <v>250</v>
      </c>
      <c r="K10">
        <v>-75</v>
      </c>
      <c r="L10">
        <v>-350</v>
      </c>
      <c r="M10">
        <v>282</v>
      </c>
      <c r="N10">
        <v>-394</v>
      </c>
      <c r="O10">
        <v>-328</v>
      </c>
      <c r="P10">
        <v>439</v>
      </c>
      <c r="Q10">
        <v>-151</v>
      </c>
      <c r="R10">
        <v>-283</v>
      </c>
      <c r="S10">
        <v>335</v>
      </c>
      <c r="T10">
        <v>-284</v>
      </c>
      <c r="U10">
        <v>-80</v>
      </c>
    </row>
    <row r="11" spans="2:21" x14ac:dyDescent="0.35">
      <c r="B11">
        <v>-1217.4000000000001</v>
      </c>
      <c r="C11">
        <v>-423.7</v>
      </c>
      <c r="D11">
        <v>-393.2</v>
      </c>
      <c r="F11">
        <v>113</v>
      </c>
      <c r="G11">
        <v>-85</v>
      </c>
      <c r="H11">
        <v>120</v>
      </c>
      <c r="I11">
        <v>-61</v>
      </c>
      <c r="J11">
        <v>-18</v>
      </c>
      <c r="K11">
        <v>-214</v>
      </c>
      <c r="L11">
        <v>-175</v>
      </c>
      <c r="M11">
        <v>250</v>
      </c>
      <c r="N11">
        <v>-75</v>
      </c>
      <c r="O11">
        <v>-350</v>
      </c>
      <c r="P11">
        <v>282</v>
      </c>
      <c r="Q11">
        <v>-394</v>
      </c>
      <c r="R11">
        <v>-328</v>
      </c>
      <c r="S11">
        <v>439</v>
      </c>
      <c r="T11">
        <v>-151</v>
      </c>
      <c r="U11">
        <v>8</v>
      </c>
    </row>
    <row r="12" spans="2:21" x14ac:dyDescent="0.35">
      <c r="B12">
        <v>-618.20000000000005</v>
      </c>
      <c r="C12">
        <v>-1067.6000000000001</v>
      </c>
      <c r="D12">
        <v>-874.5</v>
      </c>
      <c r="F12">
        <v>114</v>
      </c>
      <c r="G12">
        <v>-290</v>
      </c>
      <c r="H12">
        <v>-51</v>
      </c>
      <c r="I12">
        <v>113</v>
      </c>
      <c r="J12">
        <v>-85</v>
      </c>
      <c r="K12">
        <v>120</v>
      </c>
      <c r="L12">
        <v>-61</v>
      </c>
      <c r="M12">
        <v>-18</v>
      </c>
      <c r="N12">
        <v>-214</v>
      </c>
      <c r="O12">
        <v>-175</v>
      </c>
      <c r="P12">
        <v>250</v>
      </c>
      <c r="Q12">
        <v>-75</v>
      </c>
      <c r="R12">
        <v>-350</v>
      </c>
      <c r="S12">
        <v>282</v>
      </c>
      <c r="T12">
        <v>-394</v>
      </c>
      <c r="U12">
        <v>-17</v>
      </c>
    </row>
    <row r="13" spans="2:21" x14ac:dyDescent="0.35">
      <c r="B13">
        <v>-117.39999999999998</v>
      </c>
      <c r="C13">
        <v>-91.7</v>
      </c>
      <c r="D13">
        <v>-198.49999999999994</v>
      </c>
      <c r="F13">
        <v>118</v>
      </c>
      <c r="G13">
        <v>-265</v>
      </c>
      <c r="H13">
        <v>138</v>
      </c>
      <c r="I13">
        <v>114</v>
      </c>
      <c r="J13">
        <v>-290</v>
      </c>
      <c r="K13">
        <v>-51</v>
      </c>
      <c r="L13">
        <v>113</v>
      </c>
      <c r="M13">
        <v>-85</v>
      </c>
      <c r="N13">
        <v>120</v>
      </c>
      <c r="O13">
        <v>-61</v>
      </c>
      <c r="P13">
        <v>-18</v>
      </c>
      <c r="Q13">
        <v>-214</v>
      </c>
      <c r="R13">
        <v>-175</v>
      </c>
      <c r="S13">
        <v>250</v>
      </c>
      <c r="T13">
        <v>-75</v>
      </c>
      <c r="U13">
        <v>18</v>
      </c>
    </row>
    <row r="14" spans="2:21" x14ac:dyDescent="0.35">
      <c r="B14">
        <v>320</v>
      </c>
      <c r="C14">
        <v>-566.5</v>
      </c>
      <c r="D14">
        <v>-498.90000000000003</v>
      </c>
      <c r="F14">
        <v>15</v>
      </c>
      <c r="G14">
        <v>-312</v>
      </c>
      <c r="H14">
        <v>-51</v>
      </c>
      <c r="I14">
        <v>118</v>
      </c>
      <c r="J14">
        <v>-265</v>
      </c>
      <c r="K14">
        <v>138</v>
      </c>
      <c r="L14">
        <v>114</v>
      </c>
      <c r="M14">
        <v>-290</v>
      </c>
      <c r="N14">
        <v>-51</v>
      </c>
      <c r="O14">
        <v>113</v>
      </c>
      <c r="P14">
        <v>-85</v>
      </c>
      <c r="Q14">
        <v>120</v>
      </c>
      <c r="R14">
        <v>-61</v>
      </c>
      <c r="S14">
        <v>-18</v>
      </c>
      <c r="T14">
        <v>-214</v>
      </c>
      <c r="U14">
        <v>-28</v>
      </c>
    </row>
    <row r="15" spans="2:21" x14ac:dyDescent="0.35">
      <c r="B15">
        <v>425.8</v>
      </c>
      <c r="C15">
        <v>251.29999999999998</v>
      </c>
      <c r="D15">
        <v>99.2</v>
      </c>
      <c r="F15">
        <v>-16</v>
      </c>
      <c r="G15">
        <v>-197</v>
      </c>
      <c r="H15">
        <v>37</v>
      </c>
      <c r="I15">
        <v>15</v>
      </c>
      <c r="J15">
        <v>-312</v>
      </c>
      <c r="K15">
        <v>-51</v>
      </c>
      <c r="L15">
        <v>118</v>
      </c>
      <c r="M15">
        <v>-265</v>
      </c>
      <c r="N15">
        <v>138</v>
      </c>
      <c r="O15">
        <v>114</v>
      </c>
      <c r="P15">
        <v>-290</v>
      </c>
      <c r="Q15">
        <v>-51</v>
      </c>
      <c r="R15">
        <v>113</v>
      </c>
      <c r="S15">
        <v>-85</v>
      </c>
      <c r="T15">
        <v>120</v>
      </c>
      <c r="U15">
        <v>-13</v>
      </c>
    </row>
    <row r="16" spans="2:21" x14ac:dyDescent="0.35">
      <c r="B16">
        <v>476.6</v>
      </c>
      <c r="C16">
        <v>-244.29999999999998</v>
      </c>
      <c r="D16">
        <v>-439.4</v>
      </c>
      <c r="F16">
        <v>-37</v>
      </c>
      <c r="G16">
        <v>-125</v>
      </c>
      <c r="H16">
        <v>-40</v>
      </c>
      <c r="I16">
        <v>-16</v>
      </c>
      <c r="J16">
        <v>-197</v>
      </c>
      <c r="K16">
        <v>37</v>
      </c>
      <c r="L16">
        <v>15</v>
      </c>
      <c r="M16">
        <v>-312</v>
      </c>
      <c r="N16">
        <v>-51</v>
      </c>
      <c r="O16">
        <v>118</v>
      </c>
      <c r="P16">
        <v>-265</v>
      </c>
      <c r="Q16">
        <v>138</v>
      </c>
      <c r="R16">
        <v>114</v>
      </c>
      <c r="S16">
        <v>-290</v>
      </c>
      <c r="T16">
        <v>-51</v>
      </c>
      <c r="U16">
        <v>-22</v>
      </c>
    </row>
    <row r="17" spans="2:29" x14ac:dyDescent="0.35">
      <c r="B17">
        <v>345</v>
      </c>
      <c r="C17">
        <v>228</v>
      </c>
      <c r="D17">
        <v>-188.60000000000002</v>
      </c>
      <c r="F17">
        <v>0</v>
      </c>
      <c r="G17">
        <v>0</v>
      </c>
      <c r="H17">
        <v>0</v>
      </c>
      <c r="I17">
        <v>-37</v>
      </c>
      <c r="J17">
        <v>-125</v>
      </c>
      <c r="K17">
        <v>-40</v>
      </c>
      <c r="L17">
        <v>-16</v>
      </c>
      <c r="M17">
        <v>-197</v>
      </c>
      <c r="N17">
        <v>37</v>
      </c>
      <c r="O17">
        <v>15</v>
      </c>
      <c r="P17">
        <v>-312</v>
      </c>
      <c r="Q17">
        <v>-51</v>
      </c>
      <c r="R17">
        <v>118</v>
      </c>
      <c r="S17">
        <v>-265</v>
      </c>
      <c r="T17">
        <v>138</v>
      </c>
      <c r="U17">
        <v>0</v>
      </c>
    </row>
    <row r="18" spans="2:29" x14ac:dyDescent="0.35">
      <c r="B18">
        <v>274</v>
      </c>
      <c r="C18">
        <v>-169.8</v>
      </c>
      <c r="D18">
        <v>-719.09999999999991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-37</v>
      </c>
      <c r="M18">
        <v>-125</v>
      </c>
      <c r="N18">
        <v>-40</v>
      </c>
      <c r="O18">
        <v>-16</v>
      </c>
      <c r="P18">
        <v>-197</v>
      </c>
      <c r="Q18">
        <v>37</v>
      </c>
      <c r="R18">
        <v>15</v>
      </c>
      <c r="S18">
        <v>-312</v>
      </c>
      <c r="T18">
        <v>-51</v>
      </c>
      <c r="U18">
        <v>22</v>
      </c>
    </row>
    <row r="19" spans="2:29" x14ac:dyDescent="0.35">
      <c r="B19">
        <v>144</v>
      </c>
      <c r="C19">
        <v>75.3</v>
      </c>
      <c r="D19">
        <v>-435.59999999999997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-37</v>
      </c>
      <c r="P19">
        <v>-125</v>
      </c>
      <c r="Q19">
        <v>-40</v>
      </c>
      <c r="R19">
        <v>-16</v>
      </c>
      <c r="S19">
        <v>-197</v>
      </c>
      <c r="T19">
        <v>37</v>
      </c>
      <c r="U19">
        <v>13</v>
      </c>
    </row>
    <row r="20" spans="2:29" x14ac:dyDescent="0.35">
      <c r="B20">
        <v>88</v>
      </c>
      <c r="C20">
        <v>-77.2</v>
      </c>
      <c r="D20">
        <v>-401.2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-37</v>
      </c>
      <c r="S20">
        <v>-125</v>
      </c>
      <c r="T20">
        <v>-40</v>
      </c>
      <c r="U20">
        <v>28</v>
      </c>
    </row>
    <row r="22" spans="2:29" x14ac:dyDescent="0.35">
      <c r="B22" t="s">
        <v>19</v>
      </c>
      <c r="S22" t="s">
        <v>20</v>
      </c>
      <c r="W22" t="s">
        <v>21</v>
      </c>
      <c r="AA22" t="s">
        <v>22</v>
      </c>
    </row>
    <row r="23" spans="2:29" x14ac:dyDescent="0.35">
      <c r="B23" cm="1">
        <f t="array" ref="B23:Q38">MINVERSE(F2:U17)</f>
        <v>2.4373025631085673E-2</v>
      </c>
      <c r="C23">
        <v>-1.5762782788249198E-2</v>
      </c>
      <c r="D23">
        <v>5.6789914016696814E-3</v>
      </c>
      <c r="E23">
        <v>3.1000456014757455E-2</v>
      </c>
      <c r="F23">
        <v>-0.35855177315873793</v>
      </c>
      <c r="G23">
        <v>0.56902894370462054</v>
      </c>
      <c r="H23">
        <v>0.27032049713064527</v>
      </c>
      <c r="I23">
        <v>-1.2916319566435017</v>
      </c>
      <c r="J23">
        <v>0.46207642820516981</v>
      </c>
      <c r="K23">
        <v>1.254785306267229</v>
      </c>
      <c r="L23">
        <v>-1.0326794274476736</v>
      </c>
      <c r="M23">
        <v>-0.57771211871296835</v>
      </c>
      <c r="N23">
        <v>0.91542750437522513</v>
      </c>
      <c r="O23">
        <v>-1.8273184776970989E-2</v>
      </c>
      <c r="P23">
        <v>-0.40973554587324501</v>
      </c>
      <c r="Q23">
        <v>0.1802863932304844</v>
      </c>
      <c r="S23" cm="1">
        <f t="array" ref="S23:U38">MMULT(_xlfn.ANCHORARRAY(B23),B2:D17)</f>
        <v>1.2000000000036479</v>
      </c>
      <c r="T23">
        <v>1.6413537196058314E-12</v>
      </c>
      <c r="U23">
        <v>0.80000000000237037</v>
      </c>
      <c r="W23" cm="1">
        <f t="array" ref="W23:Y41">MMULT(F2:U20,_xlfn.ANCHORARRAY(S23))</f>
        <v>118.80000000000501</v>
      </c>
      <c r="X23">
        <v>53.399999999959228</v>
      </c>
      <c r="Y23">
        <v>84.100000000042627</v>
      </c>
      <c r="AA23">
        <f>W23-B2</f>
        <v>5.0164317144663073E-12</v>
      </c>
      <c r="AB23">
        <f t="shared" ref="AB23:AC23" si="0">X23-C2</f>
        <v>-4.0770942177914549E-11</v>
      </c>
      <c r="AC23">
        <f t="shared" si="0"/>
        <v>4.2618353290890809E-11</v>
      </c>
    </row>
    <row r="24" spans="2:29" x14ac:dyDescent="0.35">
      <c r="B24">
        <v>1.3692324324429551E-2</v>
      </c>
      <c r="C24">
        <v>-3.9473024001567148E-3</v>
      </c>
      <c r="D24">
        <v>-4.8268410496516189E-3</v>
      </c>
      <c r="E24">
        <v>1.3051824576436482E-2</v>
      </c>
      <c r="F24">
        <v>-0.17508307262675332</v>
      </c>
      <c r="G24">
        <v>0.30560194532072704</v>
      </c>
      <c r="H24">
        <v>0.15617056492446502</v>
      </c>
      <c r="I24">
        <v>-0.67663178997257822</v>
      </c>
      <c r="J24">
        <v>4.716682458475524E-2</v>
      </c>
      <c r="K24">
        <v>0.92690206438554656</v>
      </c>
      <c r="L24">
        <v>-0.43531592385442386</v>
      </c>
      <c r="M24">
        <v>-0.75120113739005057</v>
      </c>
      <c r="N24">
        <v>0.70704925559597087</v>
      </c>
      <c r="O24">
        <v>0.15830701136319289</v>
      </c>
      <c r="P24">
        <v>-0.42573324237978727</v>
      </c>
      <c r="Q24">
        <v>0.16029994514279908</v>
      </c>
      <c r="S24">
        <v>-7.4109607339778449E-12</v>
      </c>
      <c r="T24">
        <v>0.49999999999597833</v>
      </c>
      <c r="U24">
        <v>-4.1566750041965861E-12</v>
      </c>
      <c r="W24">
        <v>270.59999999994898</v>
      </c>
      <c r="X24">
        <v>155.69999999989975</v>
      </c>
      <c r="Y24">
        <v>136.19999999991515</v>
      </c>
      <c r="AA24">
        <f t="shared" ref="AA24:AA41" si="1">W24-B3</f>
        <v>-5.1045390137005597E-11</v>
      </c>
      <c r="AB24">
        <f t="shared" ref="AB24:AB41" si="2">X24-C3</f>
        <v>-1.0024336916103493E-10</v>
      </c>
      <c r="AC24">
        <f t="shared" ref="AC24:AC41" si="3">Y24-D3</f>
        <v>-8.4838802649755962E-11</v>
      </c>
    </row>
    <row r="25" spans="2:29" x14ac:dyDescent="0.35">
      <c r="B25">
        <v>-2.3268357409461347E-2</v>
      </c>
      <c r="C25">
        <v>1.3683335829913839E-2</v>
      </c>
      <c r="D25">
        <v>9.6580984720451551E-4</v>
      </c>
      <c r="E25">
        <v>-0.10386079630291682</v>
      </c>
      <c r="F25">
        <v>0.54095771640360057</v>
      </c>
      <c r="G25">
        <v>-0.56596108174787596</v>
      </c>
      <c r="H25">
        <v>-0.67848626517221844</v>
      </c>
      <c r="I25">
        <v>1.5007836530296921</v>
      </c>
      <c r="J25">
        <v>7.6927371498922939E-2</v>
      </c>
      <c r="K25">
        <v>-1.8013688851662815</v>
      </c>
      <c r="L25">
        <v>0.72349823704311977</v>
      </c>
      <c r="M25">
        <v>1.2194774611432662</v>
      </c>
      <c r="N25">
        <v>-1.0332895978200565</v>
      </c>
      <c r="O25">
        <v>-0.26205359928145389</v>
      </c>
      <c r="P25">
        <v>0.60570143041962399</v>
      </c>
      <c r="Q25">
        <v>-0.22013455847102667</v>
      </c>
      <c r="S25">
        <v>-1.7195134205394424E-12</v>
      </c>
      <c r="T25">
        <v>0.49999999999914735</v>
      </c>
      <c r="U25">
        <v>-1.0658141036401503E-12</v>
      </c>
      <c r="W25">
        <v>292.39999999989129</v>
      </c>
      <c r="X25">
        <v>207.70000000004904</v>
      </c>
      <c r="Y25">
        <v>80.000000000104748</v>
      </c>
      <c r="AA25">
        <f t="shared" si="1"/>
        <v>-1.0868461686186492E-10</v>
      </c>
      <c r="AB25">
        <f t="shared" si="2"/>
        <v>4.9027448767446913E-11</v>
      </c>
      <c r="AC25">
        <f t="shared" si="3"/>
        <v>1.0474821010575397E-10</v>
      </c>
    </row>
    <row r="26" spans="2:29" x14ac:dyDescent="0.35">
      <c r="B26">
        <v>6.3908070187536977E-4</v>
      </c>
      <c r="C26">
        <v>-1.9148403927697385E-3</v>
      </c>
      <c r="D26">
        <v>1.8858003286725594E-3</v>
      </c>
      <c r="E26">
        <v>9.9840742460959253E-2</v>
      </c>
      <c r="F26">
        <v>-0.52631926261212281</v>
      </c>
      <c r="G26">
        <v>0.50323886638467208</v>
      </c>
      <c r="H26">
        <v>0.67346510154331063</v>
      </c>
      <c r="I26">
        <v>-1.3506373026900031</v>
      </c>
      <c r="J26">
        <v>-8.8710897532244801E-2</v>
      </c>
      <c r="K26">
        <v>1.5259956015189531</v>
      </c>
      <c r="L26">
        <v>-0.60155316421921945</v>
      </c>
      <c r="M26">
        <v>-0.94333709534441323</v>
      </c>
      <c r="N26">
        <v>0.79392069984879898</v>
      </c>
      <c r="O26">
        <v>0.18221465563771314</v>
      </c>
      <c r="P26">
        <v>-0.4549226789734766</v>
      </c>
      <c r="Q26">
        <v>0.17456374713117942</v>
      </c>
      <c r="S26">
        <v>1.0000000000121858</v>
      </c>
      <c r="T26">
        <v>5.0803805606847163E-12</v>
      </c>
      <c r="U26">
        <v>3.737454790098127E-12</v>
      </c>
      <c r="W26">
        <v>185.60000000005459</v>
      </c>
      <c r="X26">
        <v>390.1000000000351</v>
      </c>
      <c r="Y26">
        <v>63.399999999945578</v>
      </c>
      <c r="AA26">
        <f t="shared" si="1"/>
        <v>5.4569682106375694E-11</v>
      </c>
      <c r="AB26">
        <f t="shared" si="2"/>
        <v>3.5129232855979353E-11</v>
      </c>
      <c r="AC26">
        <f t="shared" si="3"/>
        <v>-5.4413362704508472E-11</v>
      </c>
    </row>
    <row r="27" spans="2:29" x14ac:dyDescent="0.35">
      <c r="B27">
        <v>-2.175401601669695E-2</v>
      </c>
      <c r="C27">
        <v>6.4888071775665926E-3</v>
      </c>
      <c r="D27">
        <v>1.5359276636251022E-2</v>
      </c>
      <c r="E27">
        <v>3.7717370602783668E-3</v>
      </c>
      <c r="F27">
        <v>8.7462865805716578E-2</v>
      </c>
      <c r="G27">
        <v>-0.19875915046887763</v>
      </c>
      <c r="H27">
        <v>-0.18944389093953823</v>
      </c>
      <c r="I27">
        <v>0.59621770430708376</v>
      </c>
      <c r="J27">
        <v>0.22544174801071912</v>
      </c>
      <c r="K27">
        <v>-1.2854715743374741</v>
      </c>
      <c r="L27">
        <v>0.43589670742352959</v>
      </c>
      <c r="M27">
        <v>1.2246028523011194</v>
      </c>
      <c r="N27">
        <v>-1.0883534461542355</v>
      </c>
      <c r="O27">
        <v>-0.23320500677024197</v>
      </c>
      <c r="P27">
        <v>0.65160643328191392</v>
      </c>
      <c r="Q27">
        <v>-0.24301366791784229</v>
      </c>
      <c r="S27">
        <v>1.6640910871501546E-11</v>
      </c>
      <c r="T27">
        <v>8.8675733422860503E-12</v>
      </c>
      <c r="U27">
        <v>0.20000000000991491</v>
      </c>
      <c r="W27">
        <v>-171.60000000002057</v>
      </c>
      <c r="X27">
        <v>218.70000000010486</v>
      </c>
      <c r="Y27">
        <v>461.30000000010762</v>
      </c>
      <c r="AA27">
        <f t="shared" si="1"/>
        <v>-2.0605739337042905E-11</v>
      </c>
      <c r="AB27">
        <f t="shared" si="2"/>
        <v>1.0487610779819079E-10</v>
      </c>
      <c r="AC27">
        <f t="shared" si="3"/>
        <v>1.0760459190350957E-10</v>
      </c>
    </row>
    <row r="28" spans="2:29" x14ac:dyDescent="0.35">
      <c r="B28">
        <v>1.1178335483140215E-3</v>
      </c>
      <c r="C28">
        <v>-6.222618225927561E-4</v>
      </c>
      <c r="D28">
        <v>-4.0382553480198639E-3</v>
      </c>
      <c r="E28">
        <v>-6.5697038837842142E-2</v>
      </c>
      <c r="F28">
        <v>0.30502298127954663</v>
      </c>
      <c r="G28">
        <v>-0.21534888926163945</v>
      </c>
      <c r="H28">
        <v>-0.38673727660270563</v>
      </c>
      <c r="I28">
        <v>0.53073122817568896</v>
      </c>
      <c r="J28">
        <v>0.14090959357993305</v>
      </c>
      <c r="K28">
        <v>-0.45508919039731976</v>
      </c>
      <c r="L28">
        <v>-4.4839820847718345E-5</v>
      </c>
      <c r="M28">
        <v>0.24806538662081751</v>
      </c>
      <c r="N28">
        <v>-2.7373899532881763E-2</v>
      </c>
      <c r="O28">
        <v>-0.10805120013394</v>
      </c>
      <c r="P28">
        <v>7.0175601735149237E-2</v>
      </c>
      <c r="Q28">
        <v>-2.6233807242172995E-2</v>
      </c>
      <c r="S28">
        <v>-1.7839951738096715E-11</v>
      </c>
      <c r="T28">
        <v>-7.3576700287958374E-12</v>
      </c>
      <c r="U28">
        <v>9.99999999927903E-2</v>
      </c>
      <c r="W28">
        <v>-700.59999999995455</v>
      </c>
      <c r="X28">
        <v>461.39999999988834</v>
      </c>
      <c r="Y28">
        <v>698.99999999979411</v>
      </c>
      <c r="AA28">
        <f t="shared" si="1"/>
        <v>4.5361048250924796E-11</v>
      </c>
      <c r="AB28">
        <f t="shared" si="2"/>
        <v>-1.1169731806148775E-10</v>
      </c>
      <c r="AC28">
        <f t="shared" si="3"/>
        <v>-2.0577317627612501E-10</v>
      </c>
    </row>
    <row r="29" spans="2:29" x14ac:dyDescent="0.35">
      <c r="B29">
        <v>-1.7814395168702576E-2</v>
      </c>
      <c r="C29">
        <v>1.5502528586871206E-2</v>
      </c>
      <c r="D29">
        <v>2.9926554849889638E-3</v>
      </c>
      <c r="E29">
        <v>-0.15342884160021505</v>
      </c>
      <c r="F29">
        <v>0.8519147154311042</v>
      </c>
      <c r="G29">
        <v>-1.020499485887957</v>
      </c>
      <c r="H29">
        <v>-0.9475683939569246</v>
      </c>
      <c r="I29">
        <v>2.6464809264812574</v>
      </c>
      <c r="J29">
        <v>-0.39298359902971131</v>
      </c>
      <c r="K29">
        <v>-2.8056525405656645</v>
      </c>
      <c r="L29">
        <v>1.6563465116248433</v>
      </c>
      <c r="M29">
        <v>1.5247442579782333</v>
      </c>
      <c r="N29">
        <v>-1.6488090514404805</v>
      </c>
      <c r="O29">
        <v>-0.21563812917626463</v>
      </c>
      <c r="P29">
        <v>0.80274316706835658</v>
      </c>
      <c r="Q29">
        <v>-0.29015808500720497</v>
      </c>
      <c r="S29">
        <v>1.000000000005187</v>
      </c>
      <c r="T29">
        <v>1.0000000000017479</v>
      </c>
      <c r="U29">
        <v>2.9487523534044158E-12</v>
      </c>
      <c r="W29">
        <v>-1243.0000000000077</v>
      </c>
      <c r="X29">
        <v>-347.800000000061</v>
      </c>
      <c r="Y29">
        <v>323.80000000002462</v>
      </c>
      <c r="AA29">
        <f t="shared" si="1"/>
        <v>-7.73070496506989E-12</v>
      </c>
      <c r="AB29">
        <f t="shared" si="2"/>
        <v>-6.0992988437647E-11</v>
      </c>
      <c r="AC29">
        <f t="shared" si="3"/>
        <v>2.461320036672987E-11</v>
      </c>
    </row>
    <row r="30" spans="2:29" x14ac:dyDescent="0.35">
      <c r="B30">
        <v>-3.3716958255120911E-3</v>
      </c>
      <c r="C30">
        <v>7.6707487862184729E-3</v>
      </c>
      <c r="D30">
        <v>-8.1425242813568926E-3</v>
      </c>
      <c r="E30">
        <v>-0.161025145809472</v>
      </c>
      <c r="F30">
        <v>0.82856168615345782</v>
      </c>
      <c r="G30">
        <v>-0.97675392546780082</v>
      </c>
      <c r="H30">
        <v>-0.61271196334341704</v>
      </c>
      <c r="I30">
        <v>1.9339293944791025</v>
      </c>
      <c r="J30">
        <v>-0.45434545751204802</v>
      </c>
      <c r="K30">
        <v>-1.51901628292635</v>
      </c>
      <c r="L30">
        <v>0.7594665222946444</v>
      </c>
      <c r="M30">
        <v>0.88605957901134957</v>
      </c>
      <c r="N30">
        <v>-0.64671002045972581</v>
      </c>
      <c r="O30">
        <v>-0.38485184850502085</v>
      </c>
      <c r="P30">
        <v>0.51855391098095338</v>
      </c>
      <c r="Q30">
        <v>-0.16148539952571772</v>
      </c>
      <c r="S30">
        <v>-5.2793325266975444E-12</v>
      </c>
      <c r="T30">
        <v>0.19999999999580353</v>
      </c>
      <c r="U30">
        <v>-4.8920867357082898E-12</v>
      </c>
      <c r="W30">
        <v>-1587.999999999844</v>
      </c>
      <c r="X30">
        <v>-114.40000000020794</v>
      </c>
      <c r="Y30">
        <v>211.39999999977499</v>
      </c>
      <c r="AA30">
        <f t="shared" si="1"/>
        <v>1.5597834135405719E-10</v>
      </c>
      <c r="AB30">
        <f t="shared" si="2"/>
        <v>-2.0796164790226612E-10</v>
      </c>
      <c r="AC30">
        <f t="shared" si="3"/>
        <v>-2.2498625185107812E-10</v>
      </c>
    </row>
    <row r="31" spans="2:29" x14ac:dyDescent="0.35">
      <c r="B31">
        <v>2.0630424472663833E-2</v>
      </c>
      <c r="C31">
        <v>-2.5464578150189581E-2</v>
      </c>
      <c r="D31">
        <v>6.8420605386312963E-3</v>
      </c>
      <c r="E31">
        <v>0.16611862900419183</v>
      </c>
      <c r="F31">
        <v>-0.94452407048834064</v>
      </c>
      <c r="G31">
        <v>1.1611328807730008</v>
      </c>
      <c r="H31">
        <v>0.92130955064656073</v>
      </c>
      <c r="I31">
        <v>-2.7740550985857788</v>
      </c>
      <c r="J31">
        <v>0.52879498715406104</v>
      </c>
      <c r="K31">
        <v>2.7268433823225067</v>
      </c>
      <c r="L31">
        <v>-1.6212942022679098</v>
      </c>
      <c r="M31">
        <v>-1.4667372297235532</v>
      </c>
      <c r="N31">
        <v>1.5215061356129609</v>
      </c>
      <c r="O31">
        <v>0.28096195411519742</v>
      </c>
      <c r="P31">
        <v>-0.78869947348804059</v>
      </c>
      <c r="Q31">
        <v>0.27283813578489924</v>
      </c>
      <c r="S31">
        <v>-3.2542857297812589E-12</v>
      </c>
      <c r="T31">
        <v>0.20000000000042917</v>
      </c>
      <c r="U31">
        <v>-1.8474111129762605E-13</v>
      </c>
      <c r="W31">
        <v>-1544.1999999997572</v>
      </c>
      <c r="X31">
        <v>-1064.3999999999833</v>
      </c>
      <c r="Y31">
        <v>-563.19999999984736</v>
      </c>
      <c r="AA31">
        <f t="shared" si="1"/>
        <v>2.4283508537337184E-10</v>
      </c>
      <c r="AB31">
        <f t="shared" si="2"/>
        <v>1.6825651982799172E-11</v>
      </c>
      <c r="AC31">
        <f t="shared" si="3"/>
        <v>1.5268142306013033E-10</v>
      </c>
    </row>
    <row r="32" spans="2:29" x14ac:dyDescent="0.35">
      <c r="B32">
        <v>1.7059768323267832E-2</v>
      </c>
      <c r="C32">
        <v>-7.9755219764342297E-3</v>
      </c>
      <c r="D32">
        <v>-8.3165304199371067E-3</v>
      </c>
      <c r="E32">
        <v>0.12709807679696586</v>
      </c>
      <c r="F32">
        <v>-0.51887284131035505</v>
      </c>
      <c r="G32">
        <v>0.5885665362813397</v>
      </c>
      <c r="H32">
        <v>0.49940770967588488</v>
      </c>
      <c r="I32">
        <v>-1.5338808000826121</v>
      </c>
      <c r="J32">
        <v>0.40219489604675746</v>
      </c>
      <c r="K32">
        <v>1.5602380617580307</v>
      </c>
      <c r="L32">
        <v>-1.1750546759146123</v>
      </c>
      <c r="M32">
        <v>-0.78462279223069364</v>
      </c>
      <c r="N32">
        <v>1.1400560227951504</v>
      </c>
      <c r="O32">
        <v>3.428985922989837E-2</v>
      </c>
      <c r="P32">
        <v>-0.5678863502324436</v>
      </c>
      <c r="Q32">
        <v>0.23609211050624446</v>
      </c>
      <c r="S32">
        <v>0.99999999999951683</v>
      </c>
      <c r="T32">
        <v>-1.0658141036401503E-13</v>
      </c>
      <c r="U32">
        <v>0.19999999999898677</v>
      </c>
      <c r="W32">
        <v>-1217.3999999995815</v>
      </c>
      <c r="X32">
        <v>-423.69999999998743</v>
      </c>
      <c r="Y32">
        <v>-393.20000000001704</v>
      </c>
      <c r="AA32">
        <f t="shared" si="1"/>
        <v>4.1859493649099022E-10</v>
      </c>
      <c r="AB32">
        <f t="shared" si="2"/>
        <v>1.2562395568238571E-11</v>
      </c>
      <c r="AC32">
        <f t="shared" si="3"/>
        <v>-1.7053025658242404E-11</v>
      </c>
    </row>
    <row r="33" spans="2:29" x14ac:dyDescent="0.35">
      <c r="B33">
        <v>3.0418071264208046E-2</v>
      </c>
      <c r="C33">
        <v>-2.5374213519637586E-2</v>
      </c>
      <c r="D33">
        <v>-2.8811720419705559E-3</v>
      </c>
      <c r="E33">
        <v>0.27282244579203541</v>
      </c>
      <c r="F33">
        <v>-1.4024003240223064</v>
      </c>
      <c r="G33">
        <v>1.6890660149240568</v>
      </c>
      <c r="H33">
        <v>1.2022328357047039</v>
      </c>
      <c r="I33">
        <v>-3.6950334486151903</v>
      </c>
      <c r="J33">
        <v>0.5396600675256924</v>
      </c>
      <c r="K33">
        <v>3.8083454563598265</v>
      </c>
      <c r="L33">
        <v>-1.8988391926399735</v>
      </c>
      <c r="M33">
        <v>-2.6118936978930405</v>
      </c>
      <c r="N33">
        <v>2.3704936059275377</v>
      </c>
      <c r="O33">
        <v>0.70773404393460615</v>
      </c>
      <c r="P33">
        <v>-1.5515747546327185</v>
      </c>
      <c r="Q33">
        <v>0.55513855359020947</v>
      </c>
      <c r="S33">
        <v>-3.666400516522117E-12</v>
      </c>
      <c r="T33">
        <v>-2.5579538487363607E-13</v>
      </c>
      <c r="U33">
        <v>0.29999999999891713</v>
      </c>
      <c r="W33">
        <v>-618.19999999964841</v>
      </c>
      <c r="X33">
        <v>-1067.5999999997887</v>
      </c>
      <c r="Y33">
        <v>-874.49999999973534</v>
      </c>
      <c r="AA33">
        <f t="shared" si="1"/>
        <v>3.5163338907295838E-10</v>
      </c>
      <c r="AB33">
        <f t="shared" si="2"/>
        <v>2.1145751816220582E-10</v>
      </c>
      <c r="AC33">
        <f t="shared" si="3"/>
        <v>2.6466295821592212E-10</v>
      </c>
    </row>
    <row r="34" spans="2:29" x14ac:dyDescent="0.35">
      <c r="B34">
        <v>-1.6321476548580675E-2</v>
      </c>
      <c r="C34">
        <v>1.3982428403104834E-2</v>
      </c>
      <c r="D34">
        <v>-2.0585578235470131E-3</v>
      </c>
      <c r="E34">
        <v>-0.16159111364754153</v>
      </c>
      <c r="F34">
        <v>0.68880023787940148</v>
      </c>
      <c r="G34">
        <v>-0.79052759794184424</v>
      </c>
      <c r="H34">
        <v>-0.565445204037343</v>
      </c>
      <c r="I34">
        <v>1.8249486980950178</v>
      </c>
      <c r="J34">
        <v>-0.46038441506961719</v>
      </c>
      <c r="K34">
        <v>-1.7897497064583665</v>
      </c>
      <c r="L34">
        <v>1.2069424444982837</v>
      </c>
      <c r="M34">
        <v>1.0494221074275651</v>
      </c>
      <c r="N34">
        <v>-1.2724881674311856</v>
      </c>
      <c r="O34">
        <v>-0.18649089870979307</v>
      </c>
      <c r="P34">
        <v>0.74625861437668817</v>
      </c>
      <c r="Q34">
        <v>-0.29339866727014785</v>
      </c>
      <c r="S34">
        <v>2.1458390619955026E-12</v>
      </c>
      <c r="T34">
        <v>4.9737991503207013E-13</v>
      </c>
      <c r="U34">
        <v>1.0000000000009166</v>
      </c>
      <c r="W34">
        <v>-117.39999999980844</v>
      </c>
      <c r="X34">
        <v>-91.699999999912819</v>
      </c>
      <c r="Y34">
        <v>-198.50000000001052</v>
      </c>
      <c r="AA34">
        <f t="shared" si="1"/>
        <v>1.9153389985149261E-10</v>
      </c>
      <c r="AB34">
        <f t="shared" si="2"/>
        <v>8.7183593677764293E-11</v>
      </c>
      <c r="AC34">
        <f t="shared" si="3"/>
        <v>-1.0572875908110291E-11</v>
      </c>
    </row>
    <row r="35" spans="2:29" x14ac:dyDescent="0.35">
      <c r="B35">
        <v>1.0179685421591924E-2</v>
      </c>
      <c r="C35">
        <v>-1.1250313274117936E-2</v>
      </c>
      <c r="D35">
        <v>1.5299215955545365E-2</v>
      </c>
      <c r="E35">
        <v>4.7707481346541507E-2</v>
      </c>
      <c r="F35">
        <v>-0.32089691526563446</v>
      </c>
      <c r="G35">
        <v>0.38776714661815453</v>
      </c>
      <c r="H35">
        <v>0.32027338526933613</v>
      </c>
      <c r="I35">
        <v>-0.95420311410805059</v>
      </c>
      <c r="J35">
        <v>0.19402043365190225</v>
      </c>
      <c r="K35">
        <v>0.9774330547205059</v>
      </c>
      <c r="L35">
        <v>-0.65456279203506751</v>
      </c>
      <c r="M35">
        <v>-0.49640824467178657</v>
      </c>
      <c r="N35">
        <v>0.63254425852190399</v>
      </c>
      <c r="O35">
        <v>3.3346010509715342E-2</v>
      </c>
      <c r="P35">
        <v>-0.29679470298994681</v>
      </c>
      <c r="Q35">
        <v>0.11704285145592813</v>
      </c>
      <c r="S35">
        <v>0.99999999999950973</v>
      </c>
      <c r="T35">
        <v>-1.5631940186722204E-13</v>
      </c>
      <c r="U35">
        <v>1.9999999999996767</v>
      </c>
      <c r="W35">
        <v>319.99999999984192</v>
      </c>
      <c r="X35">
        <v>-566.49999999997146</v>
      </c>
      <c r="Y35">
        <v>-498.89999999998366</v>
      </c>
      <c r="AA35">
        <f t="shared" si="1"/>
        <v>-1.5808154785190709E-10</v>
      </c>
      <c r="AB35">
        <f t="shared" si="2"/>
        <v>2.8535396268125623E-11</v>
      </c>
      <c r="AC35">
        <f t="shared" si="3"/>
        <v>1.6370904631912708E-11</v>
      </c>
    </row>
    <row r="36" spans="2:29" x14ac:dyDescent="0.35">
      <c r="B36">
        <v>-1.4529105457137091E-2</v>
      </c>
      <c r="C36">
        <v>1.3707228899135048E-2</v>
      </c>
      <c r="D36">
        <v>4.6890239609634864E-3</v>
      </c>
      <c r="E36">
        <v>-0.13080559313923312</v>
      </c>
      <c r="F36">
        <v>0.60892486302572746</v>
      </c>
      <c r="G36">
        <v>-0.70507892798154015</v>
      </c>
      <c r="H36">
        <v>-0.53956897361866574</v>
      </c>
      <c r="I36">
        <v>1.5985199522417541</v>
      </c>
      <c r="J36">
        <v>-0.20621036575031804</v>
      </c>
      <c r="K36">
        <v>-1.7311250891062335</v>
      </c>
      <c r="L36">
        <v>0.88771629282553821</v>
      </c>
      <c r="M36">
        <v>1.2124599078240266</v>
      </c>
      <c r="N36">
        <v>-1.1694083154940995</v>
      </c>
      <c r="O36">
        <v>-0.28811175637518438</v>
      </c>
      <c r="P36">
        <v>0.75117130591056147</v>
      </c>
      <c r="Q36">
        <v>-0.28316038802515653</v>
      </c>
      <c r="S36">
        <v>-0.99999999999923261</v>
      </c>
      <c r="T36">
        <v>1.2789769243681803E-13</v>
      </c>
      <c r="U36">
        <v>2.0000000000007034</v>
      </c>
      <c r="W36">
        <v>425.79999999957511</v>
      </c>
      <c r="X36">
        <v>251.29999999981214</v>
      </c>
      <c r="Y36">
        <v>99.199999999763378</v>
      </c>
      <c r="AA36">
        <f t="shared" si="1"/>
        <v>-4.2490455598453991E-10</v>
      </c>
      <c r="AB36">
        <f t="shared" si="2"/>
        <v>-1.8783907762554009E-10</v>
      </c>
      <c r="AC36">
        <f t="shared" si="3"/>
        <v>-2.3662494186282856E-10</v>
      </c>
    </row>
    <row r="37" spans="2:29" x14ac:dyDescent="0.35">
      <c r="B37">
        <v>-7.3387115962445819E-3</v>
      </c>
      <c r="C37">
        <v>9.3671259006251045E-3</v>
      </c>
      <c r="D37">
        <v>-1.0312154787833755E-2</v>
      </c>
      <c r="E37">
        <v>-2.9749936628990246E-2</v>
      </c>
      <c r="F37">
        <v>0.14535196628371919</v>
      </c>
      <c r="G37">
        <v>-0.15441080508555385</v>
      </c>
      <c r="H37">
        <v>-0.1898245428423041</v>
      </c>
      <c r="I37">
        <v>0.51583058401884574</v>
      </c>
      <c r="J37">
        <v>-0.17031633216811251</v>
      </c>
      <c r="K37">
        <v>-0.49288263278987676</v>
      </c>
      <c r="L37">
        <v>0.48954671075591927</v>
      </c>
      <c r="M37">
        <v>8.3844248055534837E-2</v>
      </c>
      <c r="N37">
        <v>-0.3244911208009375</v>
      </c>
      <c r="O37">
        <v>0.10225250136061437</v>
      </c>
      <c r="P37">
        <v>5.923849944512858E-2</v>
      </c>
      <c r="Q37">
        <v>-3.3821815166510068E-2</v>
      </c>
      <c r="S37">
        <v>-2.1316282072803006E-14</v>
      </c>
      <c r="T37">
        <v>2.000000000000032</v>
      </c>
      <c r="U37">
        <v>2.0000000000001803</v>
      </c>
      <c r="W37">
        <v>476.59999999954925</v>
      </c>
      <c r="X37">
        <v>-244.30000000023767</v>
      </c>
      <c r="Y37">
        <v>-439.40000000018881</v>
      </c>
      <c r="AA37">
        <f t="shared" si="1"/>
        <v>-4.5076831156620756E-10</v>
      </c>
      <c r="AB37">
        <f t="shared" si="2"/>
        <v>-2.3769075596646871E-10</v>
      </c>
      <c r="AC37">
        <f t="shared" si="3"/>
        <v>-1.8883383745560423E-10</v>
      </c>
    </row>
    <row r="38" spans="2:29" x14ac:dyDescent="0.35">
      <c r="B38">
        <v>-8.4196336267759412E-3</v>
      </c>
      <c r="C38">
        <v>1.6993339190967932E-2</v>
      </c>
      <c r="D38">
        <v>-9.3663994581842484E-3</v>
      </c>
      <c r="E38">
        <v>6.1845367061712751E-2</v>
      </c>
      <c r="F38">
        <v>0.15039007915505945</v>
      </c>
      <c r="G38">
        <v>-0.63405680443971346</v>
      </c>
      <c r="H38">
        <v>0.21781849556089886</v>
      </c>
      <c r="I38">
        <v>1.1495443760388553</v>
      </c>
      <c r="J38">
        <v>-1.0652176088290954</v>
      </c>
      <c r="K38">
        <v>-0.86228930089977041</v>
      </c>
      <c r="L38">
        <v>1.4582778733602793</v>
      </c>
      <c r="M38">
        <v>0.12055629330244494</v>
      </c>
      <c r="N38">
        <v>-1.0116276114438105</v>
      </c>
      <c r="O38">
        <v>0.26399966655720708</v>
      </c>
      <c r="P38">
        <v>0.34448079930464831</v>
      </c>
      <c r="Q38">
        <v>-0.19245048736731607</v>
      </c>
      <c r="S38">
        <v>8.5265128291212022E-14</v>
      </c>
      <c r="T38">
        <v>9.999999999973852E-2</v>
      </c>
      <c r="U38">
        <v>0.10000000000033538</v>
      </c>
      <c r="W38">
        <v>344.99999999978229</v>
      </c>
      <c r="X38">
        <v>227.99999999981745</v>
      </c>
      <c r="Y38">
        <v>-188.60000000010331</v>
      </c>
      <c r="AA38">
        <f t="shared" si="1"/>
        <v>-2.177102942368947E-10</v>
      </c>
      <c r="AB38">
        <f t="shared" si="2"/>
        <v>-1.8255263967148494E-10</v>
      </c>
      <c r="AC38">
        <f t="shared" si="3"/>
        <v>-1.0328449207008816E-10</v>
      </c>
    </row>
    <row r="39" spans="2:29" x14ac:dyDescent="0.35">
      <c r="W39">
        <v>274.00000000116376</v>
      </c>
      <c r="X39">
        <v>-169.7999999995364</v>
      </c>
      <c r="Y39">
        <v>-719.09999999945285</v>
      </c>
      <c r="AA39">
        <f t="shared" si="1"/>
        <v>1.1637553143373225E-9</v>
      </c>
      <c r="AB39">
        <f t="shared" si="2"/>
        <v>4.6361492422875017E-10</v>
      </c>
      <c r="AC39">
        <f t="shared" si="3"/>
        <v>5.4706106311641634E-10</v>
      </c>
    </row>
    <row r="40" spans="2:29" x14ac:dyDescent="0.35">
      <c r="B40" t="s">
        <v>23</v>
      </c>
      <c r="W40">
        <v>144.00000000024733</v>
      </c>
      <c r="X40">
        <v>75.299999999991115</v>
      </c>
      <c r="Y40">
        <v>-435.59999999998627</v>
      </c>
      <c r="AA40">
        <f t="shared" si="1"/>
        <v>2.4732571546337567E-10</v>
      </c>
      <c r="AB40">
        <f t="shared" si="2"/>
        <v>-8.8817841970012523E-12</v>
      </c>
      <c r="AC40">
        <f t="shared" si="3"/>
        <v>1.3699263945454732E-11</v>
      </c>
    </row>
    <row r="41" spans="2:29" x14ac:dyDescent="0.35">
      <c r="B41" cm="1">
        <f t="array" ref="B41:P55">MINVERSE(F2:T16)</f>
        <v>1.6485566369959802E-2</v>
      </c>
      <c r="C41">
        <v>1.5646934559591138E-4</v>
      </c>
      <c r="D41">
        <v>-3.0953920720845833E-3</v>
      </c>
      <c r="E41">
        <v>8.8936802750467642E-2</v>
      </c>
      <c r="F41">
        <v>-0.21766730297930312</v>
      </c>
      <c r="G41">
        <v>-2.4951440234363881E-2</v>
      </c>
      <c r="H41">
        <v>0.47437147918196049</v>
      </c>
      <c r="I41">
        <v>-0.21474609239064774</v>
      </c>
      <c r="J41">
        <v>-0.53581265655898003</v>
      </c>
      <c r="K41">
        <v>0.44699817043239914</v>
      </c>
      <c r="L41">
        <v>0.33342601459332316</v>
      </c>
      <c r="M41">
        <v>-0.46477574947809069</v>
      </c>
      <c r="N41">
        <v>-3.2258811489857694E-2</v>
      </c>
      <c r="O41">
        <v>0.22904002470739104</v>
      </c>
      <c r="P41">
        <v>-8.7028122819246115E-2</v>
      </c>
      <c r="R41" cm="1">
        <f t="array" ref="R41:T55">MMULT(_xlfn.ANCHORARRAY(B41),B2:D16)</f>
        <v>1.200000000003854</v>
      </c>
      <c r="S41">
        <v>9.3679364339283921E-2</v>
      </c>
      <c r="T41">
        <v>0.89367936433768591</v>
      </c>
      <c r="W41">
        <v>87.99999999992545</v>
      </c>
      <c r="X41">
        <v>-77.200000000018804</v>
      </c>
      <c r="Y41">
        <v>-401.20000000007377</v>
      </c>
      <c r="AA41">
        <f t="shared" si="1"/>
        <v>-7.4550143835949712E-11</v>
      </c>
      <c r="AB41">
        <f t="shared" si="2"/>
        <v>-1.8800960788212251E-11</v>
      </c>
      <c r="AC41">
        <f t="shared" si="3"/>
        <v>-7.3782757681328803E-11</v>
      </c>
    </row>
    <row r="42" spans="2:29" x14ac:dyDescent="0.35">
      <c r="B42">
        <v>6.6792643579015789E-3</v>
      </c>
      <c r="C42">
        <v>1.0207150401544575E-2</v>
      </c>
      <c r="D42">
        <v>-1.2628501309761559E-2</v>
      </c>
      <c r="E42">
        <v>6.4565380519836971E-2</v>
      </c>
      <c r="F42">
        <v>-4.9816975521161537E-2</v>
      </c>
      <c r="G42">
        <v>-0.22253010754913033</v>
      </c>
      <c r="H42">
        <v>0.33760056994631166</v>
      </c>
      <c r="I42">
        <v>0.28087111344450061</v>
      </c>
      <c r="J42">
        <v>-0.84009683785820377</v>
      </c>
      <c r="K42">
        <v>0.20866575580385932</v>
      </c>
      <c r="L42">
        <v>0.779343837731167</v>
      </c>
      <c r="M42">
        <v>-0.65078483048764824</v>
      </c>
      <c r="N42">
        <v>-0.13557708865366966</v>
      </c>
      <c r="O42">
        <v>0.37820321763296144</v>
      </c>
      <c r="P42">
        <v>-0.1388009826246521</v>
      </c>
      <c r="R42">
        <v>-2.4016344468691386E-12</v>
      </c>
      <c r="S42">
        <v>0.58329412272838255</v>
      </c>
      <c r="T42">
        <v>8.329412272901493E-2</v>
      </c>
    </row>
    <row r="43" spans="2:29" x14ac:dyDescent="0.35">
      <c r="B43">
        <v>-1.3637556488804355E-2</v>
      </c>
      <c r="C43">
        <v>-5.7545012518493673E-3</v>
      </c>
      <c r="D43">
        <v>1.1679569201083585E-2</v>
      </c>
      <c r="E43">
        <v>-0.17460264142810686</v>
      </c>
      <c r="F43">
        <v>0.36893397083604035</v>
      </c>
      <c r="G43">
        <v>0.15930501968051475</v>
      </c>
      <c r="H43">
        <v>-0.92763802884426627</v>
      </c>
      <c r="I43">
        <v>0.18587690935811271</v>
      </c>
      <c r="J43">
        <v>1.2953769124844114</v>
      </c>
      <c r="K43">
        <v>-0.81503896143077315</v>
      </c>
      <c r="L43">
        <v>-0.94455342742220083</v>
      </c>
      <c r="M43">
        <v>1.0815791021414449</v>
      </c>
      <c r="N43">
        <v>0.12386100558286808</v>
      </c>
      <c r="O43">
        <v>-0.56402971183416495</v>
      </c>
      <c r="P43">
        <v>0.2116669455292621</v>
      </c>
      <c r="R43">
        <v>-2.5295321393059567E-12</v>
      </c>
      <c r="S43">
        <v>0.38561496440777887</v>
      </c>
      <c r="T43">
        <v>-0.11438503559134006</v>
      </c>
      <c r="V43" t="s">
        <v>24</v>
      </c>
    </row>
    <row r="44" spans="2:29" x14ac:dyDescent="0.35">
      <c r="B44">
        <v>-6.9980150283962938E-3</v>
      </c>
      <c r="C44">
        <v>1.3499103245545992E-2</v>
      </c>
      <c r="D44">
        <v>-6.610066888472853E-3</v>
      </c>
      <c r="E44">
        <v>0.15593807515509187</v>
      </c>
      <c r="F44">
        <v>-0.38990674369465417</v>
      </c>
      <c r="G44">
        <v>-7.1887407344971108E-2</v>
      </c>
      <c r="H44">
        <v>0.87103910252259265</v>
      </c>
      <c r="I44">
        <v>-0.30793392209571413</v>
      </c>
      <c r="J44">
        <v>-1.0549250123990794</v>
      </c>
      <c r="K44">
        <v>0.74384922436324752</v>
      </c>
      <c r="L44">
        <v>0.72118939369580459</v>
      </c>
      <c r="M44">
        <v>-0.83398554946356529</v>
      </c>
      <c r="N44">
        <v>-0.12368418112995939</v>
      </c>
      <c r="O44">
        <v>0.42167765552940045</v>
      </c>
      <c r="P44">
        <v>-0.14245862671781712</v>
      </c>
      <c r="R44">
        <v>1.0000000000048601</v>
      </c>
      <c r="S44">
        <v>9.0705796345261547E-2</v>
      </c>
      <c r="T44">
        <v>9.0705796344316525E-2</v>
      </c>
      <c r="V44" cm="1">
        <f t="array" ref="V44:X62">MMULT(F2:T20,_xlfn.ANCHORARRAY(R41))</f>
        <v>118.80000000014053</v>
      </c>
      <c r="W44">
        <v>53.400000000044187</v>
      </c>
      <c r="X44">
        <v>84.099999999962989</v>
      </c>
      <c r="Z44">
        <f>V44-B2</f>
        <v>1.4053114227863261E-10</v>
      </c>
      <c r="AA44">
        <f t="shared" ref="AA44:AB44" si="4">W44-C2</f>
        <v>4.4188652736920631E-11</v>
      </c>
      <c r="AB44">
        <f t="shared" si="4"/>
        <v>-3.701927653310122E-11</v>
      </c>
    </row>
    <row r="45" spans="2:29" x14ac:dyDescent="0.35">
      <c r="B45">
        <v>-1.1122262997221667E-2</v>
      </c>
      <c r="C45">
        <v>-1.4969250650508758E-2</v>
      </c>
      <c r="D45">
        <v>2.718654254061155E-2</v>
      </c>
      <c r="E45">
        <v>-7.4322476672281562E-2</v>
      </c>
      <c r="F45">
        <v>-0.1024397177307817</v>
      </c>
      <c r="G45">
        <v>0.60188558586308283</v>
      </c>
      <c r="H45">
        <v>-0.46449059137007509</v>
      </c>
      <c r="I45">
        <v>-0.85535043187712612</v>
      </c>
      <c r="J45">
        <v>1.5705276544869706</v>
      </c>
      <c r="K45">
        <v>-0.19663003028882681</v>
      </c>
      <c r="L45">
        <v>-1.4055195430448317</v>
      </c>
      <c r="M45">
        <v>1.0723723881087217</v>
      </c>
      <c r="N45">
        <v>0.18906257802403645</v>
      </c>
      <c r="O45">
        <v>-0.56656621658998496</v>
      </c>
      <c r="P45">
        <v>0.21661900502714004</v>
      </c>
      <c r="R45">
        <v>7.58859641791787E-12</v>
      </c>
      <c r="S45">
        <v>-0.12627334502120391</v>
      </c>
      <c r="T45">
        <v>7.3726654976383088E-2</v>
      </c>
      <c r="V45">
        <v>270.60000000008517</v>
      </c>
      <c r="W45">
        <v>155.70000000004097</v>
      </c>
      <c r="X45">
        <v>136.20000000001798</v>
      </c>
      <c r="Z45">
        <f t="shared" ref="Z45:Z62" si="5">V45-B3</f>
        <v>8.5151441453490406E-11</v>
      </c>
      <c r="AA45">
        <f t="shared" ref="AA45:AA62" si="6">W45-C3</f>
        <v>4.0984104998642579E-11</v>
      </c>
      <c r="AB45">
        <f t="shared" ref="AB45:AB62" si="7">X45-D3</f>
        <v>1.7990942069445737E-11</v>
      </c>
    </row>
    <row r="46" spans="2:29" x14ac:dyDescent="0.35">
      <c r="B46">
        <v>2.2655523649102128E-3</v>
      </c>
      <c r="C46">
        <v>-2.9387017071315388E-3</v>
      </c>
      <c r="D46">
        <v>-2.7614785453194748E-3</v>
      </c>
      <c r="E46">
        <v>-7.4127464037124169E-2</v>
      </c>
      <c r="F46">
        <v>0.28452262089248359</v>
      </c>
      <c r="G46">
        <v>-0.1289177026442071</v>
      </c>
      <c r="H46">
        <v>-0.41642911321211989</v>
      </c>
      <c r="I46">
        <v>0.37403157004609822</v>
      </c>
      <c r="J46">
        <v>0.28611428390446297</v>
      </c>
      <c r="K46">
        <v>-0.33754658701786511</v>
      </c>
      <c r="L46">
        <v>-0.19882937478660723</v>
      </c>
      <c r="M46">
        <v>0.23163180620433962</v>
      </c>
      <c r="N46">
        <v>0.11052569283770577</v>
      </c>
      <c r="O46">
        <v>-0.14403820364426281</v>
      </c>
      <c r="P46">
        <v>2.3217846464085191E-2</v>
      </c>
      <c r="R46">
        <v>-7.581490990560269E-12</v>
      </c>
      <c r="S46">
        <v>-1.3631457945082914E-2</v>
      </c>
      <c r="T46">
        <v>8.6368542057355668E-2</v>
      </c>
      <c r="V46">
        <v>292.40000000012242</v>
      </c>
      <c r="W46">
        <v>207.70000000011078</v>
      </c>
      <c r="X46">
        <v>80.000000000068226</v>
      </c>
      <c r="Z46">
        <f t="shared" si="5"/>
        <v>1.2244072422618046E-10</v>
      </c>
      <c r="AA46">
        <f t="shared" si="6"/>
        <v>1.1075940165028442E-10</v>
      </c>
      <c r="AB46">
        <f t="shared" si="7"/>
        <v>6.822631348768482E-11</v>
      </c>
    </row>
    <row r="47" spans="2:29" x14ac:dyDescent="0.35">
      <c r="B47">
        <v>-5.1200923221486729E-3</v>
      </c>
      <c r="C47">
        <v>-1.0118371754719049E-2</v>
      </c>
      <c r="D47">
        <v>1.7114399562524824E-2</v>
      </c>
      <c r="E47">
        <v>-0.24667325744278493</v>
      </c>
      <c r="F47">
        <v>0.62517121392751296</v>
      </c>
      <c r="G47">
        <v>-6.4530443258981274E-2</v>
      </c>
      <c r="H47">
        <v>-1.2759738888748415</v>
      </c>
      <c r="I47">
        <v>0.91330997251207013</v>
      </c>
      <c r="J47">
        <v>1.2130476754134802</v>
      </c>
      <c r="K47">
        <v>-1.505576787607076</v>
      </c>
      <c r="L47">
        <v>-0.54230271463012236</v>
      </c>
      <c r="M47">
        <v>1.3429812306209905</v>
      </c>
      <c r="N47">
        <v>-0.12357555116520658</v>
      </c>
      <c r="O47">
        <v>-0.61367109203667336</v>
      </c>
      <c r="P47">
        <v>0.28336859745644699</v>
      </c>
      <c r="R47">
        <v>1.0000000000013927</v>
      </c>
      <c r="S47">
        <v>0.84922974788302952</v>
      </c>
      <c r="T47">
        <v>-0.15077025211792261</v>
      </c>
      <c r="V47">
        <v>185.59999999986047</v>
      </c>
      <c r="W47">
        <v>390.0999999999778</v>
      </c>
      <c r="X47">
        <v>63.399999999997625</v>
      </c>
      <c r="Z47">
        <f t="shared" si="5"/>
        <v>-1.3955059330328368E-10</v>
      </c>
      <c r="AA47">
        <f t="shared" si="6"/>
        <v>-2.2168933355715126E-11</v>
      </c>
      <c r="AB47">
        <f t="shared" si="7"/>
        <v>-2.3661073100811336E-12</v>
      </c>
    </row>
    <row r="48" spans="2:29" x14ac:dyDescent="0.35">
      <c r="B48">
        <v>3.6932273070808333E-3</v>
      </c>
      <c r="C48">
        <v>-6.5883793982244076E-3</v>
      </c>
      <c r="D48">
        <v>-2.8316897749188185E-4</v>
      </c>
      <c r="E48">
        <v>-0.21291965616062486</v>
      </c>
      <c r="F48">
        <v>0.70236921790200746</v>
      </c>
      <c r="G48">
        <v>-0.44471621650881954</v>
      </c>
      <c r="H48">
        <v>-0.79548368432418148</v>
      </c>
      <c r="I48">
        <v>0.9693455403323632</v>
      </c>
      <c r="J48">
        <v>0.43947972057252715</v>
      </c>
      <c r="K48">
        <v>-0.79546845424872403</v>
      </c>
      <c r="L48">
        <v>-0.46417592320146028</v>
      </c>
      <c r="M48">
        <v>0.78490067078699133</v>
      </c>
      <c r="N48">
        <v>0.20214773635874592</v>
      </c>
      <c r="O48">
        <v>-0.6063742369999543</v>
      </c>
      <c r="P48">
        <v>0.22949972220934936</v>
      </c>
      <c r="R48">
        <v>-5.3432813729159534E-12</v>
      </c>
      <c r="S48">
        <v>0.11608989837363737</v>
      </c>
      <c r="T48">
        <v>-8.3910101624525169E-2</v>
      </c>
      <c r="V48">
        <v>-171.60000000011618</v>
      </c>
      <c r="W48">
        <v>218.69999999989327</v>
      </c>
      <c r="X48">
        <v>461.30000000003577</v>
      </c>
      <c r="Z48">
        <f t="shared" si="5"/>
        <v>-1.1621636986092199E-10</v>
      </c>
      <c r="AA48">
        <f t="shared" si="6"/>
        <v>-1.0672351891116705E-10</v>
      </c>
      <c r="AB48">
        <f t="shared" si="7"/>
        <v>3.5754510463448241E-11</v>
      </c>
    </row>
    <row r="49" spans="2:28" x14ac:dyDescent="0.35">
      <c r="B49">
        <v>8.6938626372189548E-3</v>
      </c>
      <c r="C49">
        <v>-1.373025829128173E-3</v>
      </c>
      <c r="D49">
        <v>-6.4367365283210104E-3</v>
      </c>
      <c r="E49">
        <v>0.25379715290334148</v>
      </c>
      <c r="F49">
        <v>-0.73131521142776756</v>
      </c>
      <c r="G49">
        <v>0.26222699141104217</v>
      </c>
      <c r="H49">
        <v>1.2301120539877444</v>
      </c>
      <c r="I49">
        <v>-1.1443395865546384</v>
      </c>
      <c r="J49">
        <v>-0.98136999384390133</v>
      </c>
      <c r="K49">
        <v>1.5043710021109693</v>
      </c>
      <c r="L49">
        <v>0.44611452122641448</v>
      </c>
      <c r="M49">
        <v>-1.2958238962641302</v>
      </c>
      <c r="N49">
        <v>8.731599460259877E-2</v>
      </c>
      <c r="O49">
        <v>0.65523576270153661</v>
      </c>
      <c r="P49">
        <v>-0.3003271114238143</v>
      </c>
      <c r="R49">
        <v>3.1263880373444408E-13</v>
      </c>
      <c r="S49">
        <v>0.34177056110191018</v>
      </c>
      <c r="T49">
        <v>0.14177056110165154</v>
      </c>
      <c r="V49">
        <v>-700.6000000003005</v>
      </c>
      <c r="W49">
        <v>461.39999999972736</v>
      </c>
      <c r="X49">
        <v>698.99999999985903</v>
      </c>
      <c r="Z49">
        <f t="shared" si="5"/>
        <v>-3.0058799893595278E-10</v>
      </c>
      <c r="AA49">
        <f t="shared" si="6"/>
        <v>-2.7267788027529605E-10</v>
      </c>
      <c r="AB49">
        <f t="shared" si="7"/>
        <v>-1.4085799193708226E-10</v>
      </c>
    </row>
    <row r="50" spans="2:28" x14ac:dyDescent="0.35">
      <c r="B50">
        <v>6.7308307361115738E-3</v>
      </c>
      <c r="C50">
        <v>1.2871363729220122E-2</v>
      </c>
      <c r="D50">
        <v>-1.9806930086768603E-2</v>
      </c>
      <c r="E50">
        <v>0.20296799759775544</v>
      </c>
      <c r="F50">
        <v>-0.33437909607418309</v>
      </c>
      <c r="G50">
        <v>-0.18927409789333063</v>
      </c>
      <c r="H50">
        <v>0.76662048231028579</v>
      </c>
      <c r="I50">
        <v>-0.12365647915584843</v>
      </c>
      <c r="J50">
        <v>-0.90458004049506413</v>
      </c>
      <c r="K50">
        <v>0.50240909129755806</v>
      </c>
      <c r="L50">
        <v>0.61391403773202002</v>
      </c>
      <c r="M50">
        <v>-0.63672818250559948</v>
      </c>
      <c r="N50">
        <v>-0.10097641676581233</v>
      </c>
      <c r="O50">
        <v>0.35815621728939884</v>
      </c>
      <c r="P50">
        <v>-0.14528830930627018</v>
      </c>
      <c r="R50">
        <v>0.99999999999957367</v>
      </c>
      <c r="S50">
        <v>0.12267680572572459</v>
      </c>
      <c r="T50">
        <v>0.32267680572601165</v>
      </c>
      <c r="V50">
        <v>-1243.0000000000075</v>
      </c>
      <c r="W50">
        <v>-347.80000000029406</v>
      </c>
      <c r="X50">
        <v>323.79999999994379</v>
      </c>
      <c r="Z50">
        <f t="shared" si="5"/>
        <v>-7.503331289626658E-12</v>
      </c>
      <c r="AA50">
        <f t="shared" si="6"/>
        <v>-2.9405100576695986E-10</v>
      </c>
      <c r="AB50">
        <f t="shared" si="7"/>
        <v>-5.6218141253339127E-11</v>
      </c>
    </row>
    <row r="51" spans="2:28" x14ac:dyDescent="0.35">
      <c r="B51">
        <v>6.1309764520936141E-3</v>
      </c>
      <c r="C51">
        <v>2.3644408715056364E-2</v>
      </c>
      <c r="D51">
        <v>-2.9899287291735858E-2</v>
      </c>
      <c r="E51">
        <v>0.45122026689686479</v>
      </c>
      <c r="F51">
        <v>-0.96858832303153775</v>
      </c>
      <c r="G51">
        <v>-0.13992066173152268</v>
      </c>
      <c r="H51">
        <v>1.8305474023499591</v>
      </c>
      <c r="I51">
        <v>-0.3790823646152543</v>
      </c>
      <c r="J51">
        <v>-2.5330438300515148</v>
      </c>
      <c r="K51">
        <v>1.3210042091320464</v>
      </c>
      <c r="L51">
        <v>2.3076779246935932</v>
      </c>
      <c r="M51">
        <v>-2.2641395965360429</v>
      </c>
      <c r="N51">
        <v>-0.54762573308432938</v>
      </c>
      <c r="O51">
        <v>1.469261827239857</v>
      </c>
      <c r="P51">
        <v>-0.55789281970161808</v>
      </c>
      <c r="R51">
        <v>1.3073986337985843E-12</v>
      </c>
      <c r="S51">
        <v>0.28845785800965018</v>
      </c>
      <c r="T51">
        <v>0.58845785800971839</v>
      </c>
      <c r="V51">
        <v>-1587.999999999997</v>
      </c>
      <c r="W51">
        <v>-114.40000000030437</v>
      </c>
      <c r="X51">
        <v>211.39999999978176</v>
      </c>
      <c r="Z51">
        <f t="shared" si="5"/>
        <v>2.9558577807620168E-12</v>
      </c>
      <c r="AA51">
        <f t="shared" si="6"/>
        <v>-3.0439650799962692E-10</v>
      </c>
      <c r="AB51">
        <f t="shared" si="7"/>
        <v>-2.1822188500664197E-10</v>
      </c>
    </row>
    <row r="52" spans="2:28" x14ac:dyDescent="0.35">
      <c r="B52">
        <v>-3.4853994942058348E-3</v>
      </c>
      <c r="C52">
        <v>-1.1924614698237463E-2</v>
      </c>
      <c r="D52">
        <v>1.2220902601542587E-2</v>
      </c>
      <c r="E52">
        <v>-0.25587691422390885</v>
      </c>
      <c r="F52">
        <v>0.45952438933072787</v>
      </c>
      <c r="G52">
        <v>0.17611802577703592</v>
      </c>
      <c r="H52">
        <v>-0.89751844104807088</v>
      </c>
      <c r="I52">
        <v>7.2421112888331945E-2</v>
      </c>
      <c r="J52">
        <v>1.1635835522685918</v>
      </c>
      <c r="K52">
        <v>-0.47515427390731102</v>
      </c>
      <c r="L52">
        <v>-1.0162620295793825</v>
      </c>
      <c r="M52">
        <v>0.86562908996193677</v>
      </c>
      <c r="N52">
        <v>0.26977964925037878</v>
      </c>
      <c r="O52">
        <v>-0.58896922644614769</v>
      </c>
      <c r="P52">
        <v>0.22108349635666905</v>
      </c>
      <c r="R52">
        <v>-3.5527136788005009E-13</v>
      </c>
      <c r="S52">
        <v>-0.15245410457726649</v>
      </c>
      <c r="T52">
        <v>0.84754589542302483</v>
      </c>
      <c r="V52">
        <v>-1544.199999999596</v>
      </c>
      <c r="W52">
        <v>-1064.4000000001674</v>
      </c>
      <c r="X52">
        <v>-563.20000000002392</v>
      </c>
      <c r="Z52">
        <f t="shared" si="5"/>
        <v>4.0404302126262337E-10</v>
      </c>
      <c r="AA52">
        <f t="shared" si="6"/>
        <v>-1.673470251262188E-10</v>
      </c>
      <c r="AB52">
        <f t="shared" si="7"/>
        <v>-2.3874235921539366E-11</v>
      </c>
    </row>
    <row r="53" spans="2:28" x14ac:dyDescent="0.35">
      <c r="B53">
        <v>5.0591064021623632E-3</v>
      </c>
      <c r="C53">
        <v>-9.1545311410018914E-4</v>
      </c>
      <c r="D53">
        <v>9.6028411868575164E-3</v>
      </c>
      <c r="E53">
        <v>8.5320054893433847E-2</v>
      </c>
      <c r="F53">
        <v>-0.22943399440848097</v>
      </c>
      <c r="G53">
        <v>2.1520339111914758E-3</v>
      </c>
      <c r="H53">
        <v>0.4527443297134397</v>
      </c>
      <c r="I53">
        <v>-0.2550832860043255</v>
      </c>
      <c r="J53">
        <v>-0.45381427990975481</v>
      </c>
      <c r="K53">
        <v>0.45301350173372301</v>
      </c>
      <c r="L53">
        <v>0.23231986982793842</v>
      </c>
      <c r="M53">
        <v>-0.42308937433731225</v>
      </c>
      <c r="N53">
        <v>1.7301440097960259E-2</v>
      </c>
      <c r="O53">
        <v>0.1939030149629398</v>
      </c>
      <c r="P53">
        <v>-8.7291388272518727E-2</v>
      </c>
      <c r="R53">
        <v>1.0000000000003411</v>
      </c>
      <c r="S53">
        <v>6.0817123956049102E-2</v>
      </c>
      <c r="T53">
        <v>2.0608171239559567</v>
      </c>
      <c r="V53">
        <v>-1217.3999999996847</v>
      </c>
      <c r="W53">
        <v>-423.7000000000595</v>
      </c>
      <c r="X53">
        <v>-393.20000000013152</v>
      </c>
      <c r="Z53">
        <f t="shared" si="5"/>
        <v>3.1536728783976287E-10</v>
      </c>
      <c r="AA53">
        <f t="shared" si="6"/>
        <v>-5.9515059547265992E-11</v>
      </c>
      <c r="AB53">
        <f t="shared" si="7"/>
        <v>-1.3153567124390975E-10</v>
      </c>
    </row>
    <row r="54" spans="2:28" x14ac:dyDescent="0.35">
      <c r="B54">
        <v>-2.1409491193617992E-3</v>
      </c>
      <c r="C54">
        <v>-1.1295776211334825E-2</v>
      </c>
      <c r="D54">
        <v>1.8470196153662296E-2</v>
      </c>
      <c r="E54">
        <v>-0.22180124804412218</v>
      </c>
      <c r="F54">
        <v>0.38764969894988682</v>
      </c>
      <c r="G54">
        <v>0.22783515933104251</v>
      </c>
      <c r="H54">
        <v>-0.86005436477471409</v>
      </c>
      <c r="I54">
        <v>-9.2852389933853974E-2</v>
      </c>
      <c r="J54">
        <v>1.3610885045902199</v>
      </c>
      <c r="K54">
        <v>-0.46240305897340916</v>
      </c>
      <c r="L54">
        <v>-1.2579084552223687</v>
      </c>
      <c r="M54">
        <v>1.0350804308615298</v>
      </c>
      <c r="N54">
        <v>0.3190413679128189</v>
      </c>
      <c r="O54">
        <v>-0.67654542076062163</v>
      </c>
      <c r="P54">
        <v>0.24432241125358684</v>
      </c>
      <c r="R54">
        <v>-1.0000000000003553</v>
      </c>
      <c r="S54">
        <v>-0.1471341496188785</v>
      </c>
      <c r="T54">
        <v>1.8528658503811215</v>
      </c>
      <c r="V54">
        <v>-618.19999999958077</v>
      </c>
      <c r="W54">
        <v>-1067.5999999999517</v>
      </c>
      <c r="X54">
        <v>-874.49999999991974</v>
      </c>
      <c r="Z54">
        <f t="shared" si="5"/>
        <v>4.1927705751731992E-10</v>
      </c>
      <c r="AA54">
        <f t="shared" si="6"/>
        <v>4.8430592869408429E-11</v>
      </c>
      <c r="AB54">
        <f t="shared" si="7"/>
        <v>8.0262907431460917E-11</v>
      </c>
    </row>
    <row r="55" spans="2:28" x14ac:dyDescent="0.35">
      <c r="B55">
        <v>-5.8590203977957169E-3</v>
      </c>
      <c r="C55">
        <v>6.3806664479056753E-3</v>
      </c>
      <c r="D55">
        <v>-8.6660761751796607E-3</v>
      </c>
      <c r="E55">
        <v>-4.0618823490628495E-2</v>
      </c>
      <c r="F55">
        <v>0.11892197106962937</v>
      </c>
      <c r="G55">
        <v>-4.2979795800049514E-2</v>
      </c>
      <c r="H55">
        <v>-0.22810460644449027</v>
      </c>
      <c r="I55">
        <v>0.31380627145950507</v>
      </c>
      <c r="J55">
        <v>1.6888146088918626E-2</v>
      </c>
      <c r="K55">
        <v>-0.3413413727283216</v>
      </c>
      <c r="L55">
        <v>0.23326466455850145</v>
      </c>
      <c r="M55">
        <v>6.2657330188859675E-2</v>
      </c>
      <c r="N55">
        <v>-0.14670470643720906</v>
      </c>
      <c r="O55">
        <v>5.5856422823983239E-2</v>
      </c>
      <c r="P55">
        <v>-1.3015702729619865E-3</v>
      </c>
      <c r="R55">
        <v>-1.7985612998927536E-14</v>
      </c>
      <c r="S55">
        <v>1.9824257056298864</v>
      </c>
      <c r="T55">
        <v>1.9824257056299017</v>
      </c>
      <c r="V55">
        <v>-117.39999999993738</v>
      </c>
      <c r="W55">
        <v>-91.699999999929361</v>
      </c>
      <c r="X55">
        <v>-198.5000000000571</v>
      </c>
      <c r="Z55">
        <f t="shared" si="5"/>
        <v>6.2598815020464826E-11</v>
      </c>
      <c r="AA55">
        <f t="shared" si="6"/>
        <v>7.064215878926916E-11</v>
      </c>
      <c r="AB55">
        <f t="shared" si="7"/>
        <v>-5.7156057664542459E-11</v>
      </c>
    </row>
    <row r="56" spans="2:28" x14ac:dyDescent="0.35">
      <c r="V56">
        <v>319.99999999993224</v>
      </c>
      <c r="W56">
        <v>-566.49999999997158</v>
      </c>
      <c r="X56">
        <v>-498.89999999993751</v>
      </c>
      <c r="Z56">
        <f t="shared" si="5"/>
        <v>-6.7757355282083154E-11</v>
      </c>
      <c r="AA56">
        <f t="shared" si="6"/>
        <v>2.8421709430404007E-11</v>
      </c>
      <c r="AB56">
        <f t="shared" si="7"/>
        <v>6.2527760746888816E-11</v>
      </c>
    </row>
    <row r="57" spans="2:28" x14ac:dyDescent="0.35">
      <c r="V57">
        <v>425.79999999969016</v>
      </c>
      <c r="W57">
        <v>251.30000000000811</v>
      </c>
      <c r="X57">
        <v>99.199999999910517</v>
      </c>
      <c r="Z57">
        <f t="shared" si="5"/>
        <v>-3.0985347621026449E-10</v>
      </c>
      <c r="AA57">
        <f t="shared" si="6"/>
        <v>8.1286088970955461E-12</v>
      </c>
      <c r="AB57">
        <f t="shared" si="7"/>
        <v>-8.9485752141627017E-11</v>
      </c>
    </row>
    <row r="58" spans="2:28" x14ac:dyDescent="0.35">
      <c r="V58">
        <v>476.59999999977458</v>
      </c>
      <c r="W58">
        <v>-244.29999999999879</v>
      </c>
      <c r="X58">
        <v>-439.40000000000299</v>
      </c>
      <c r="Z58">
        <f t="shared" si="5"/>
        <v>-2.2544099920196459E-10</v>
      </c>
      <c r="AA58">
        <f t="shared" si="6"/>
        <v>1.1937117960769683E-12</v>
      </c>
      <c r="AB58">
        <f t="shared" si="7"/>
        <v>-3.0127011996228248E-12</v>
      </c>
    </row>
    <row r="59" spans="2:28" x14ac:dyDescent="0.35">
      <c r="V59">
        <v>344.99999999995248</v>
      </c>
      <c r="W59">
        <v>228.51961416877131</v>
      </c>
      <c r="X59">
        <v>-188.08038583138659</v>
      </c>
      <c r="Z59">
        <f t="shared" si="5"/>
        <v>-4.75210981676355E-11</v>
      </c>
      <c r="AA59">
        <f t="shared" si="6"/>
        <v>0.51961416877131228</v>
      </c>
      <c r="AB59">
        <f t="shared" si="7"/>
        <v>0.51961416861342968</v>
      </c>
    </row>
    <row r="60" spans="2:28" x14ac:dyDescent="0.35">
      <c r="V60">
        <v>274.00000000045685</v>
      </c>
      <c r="W60">
        <v>-178.31898864801806</v>
      </c>
      <c r="X60">
        <v>-727.6189886482116</v>
      </c>
      <c r="Z60">
        <f t="shared" si="5"/>
        <v>4.5685055738431402E-10</v>
      </c>
      <c r="AA60">
        <f t="shared" si="6"/>
        <v>-8.5189886480180519</v>
      </c>
      <c r="AB60">
        <f t="shared" si="7"/>
        <v>-8.518988648211689</v>
      </c>
    </row>
    <row r="61" spans="2:28" x14ac:dyDescent="0.35">
      <c r="V61">
        <v>143.99999999993042</v>
      </c>
      <c r="W61">
        <v>66.863994719960658</v>
      </c>
      <c r="X61">
        <v>-444.03600528006814</v>
      </c>
      <c r="Z61">
        <f t="shared" si="5"/>
        <v>-6.957634468562901E-11</v>
      </c>
      <c r="AA61">
        <f t="shared" si="6"/>
        <v>-8.436005280039339</v>
      </c>
      <c r="AB61">
        <f t="shared" si="7"/>
        <v>-8.4360052800681729</v>
      </c>
    </row>
    <row r="62" spans="2:28" x14ac:dyDescent="0.35">
      <c r="V62">
        <v>88.000000000032514</v>
      </c>
      <c r="W62">
        <v>-63.155493109209466</v>
      </c>
      <c r="X62">
        <v>-387.15549310920665</v>
      </c>
      <c r="Z62">
        <f t="shared" si="5"/>
        <v>3.2514435588382185E-11</v>
      </c>
      <c r="AA62">
        <f t="shared" si="6"/>
        <v>14.044506890790537</v>
      </c>
      <c r="AB62">
        <f t="shared" si="7"/>
        <v>14.044506890793343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0242-34ED-441C-AE06-38734B7C83F4}">
  <dimension ref="B1:AR63"/>
  <sheetViews>
    <sheetView tabSelected="1" zoomScale="25" zoomScaleNormal="25" workbookViewId="0">
      <selection activeCell="AF26" sqref="AF26"/>
    </sheetView>
  </sheetViews>
  <sheetFormatPr defaultRowHeight="14.5" x14ac:dyDescent="0.35"/>
  <cols>
    <col min="26" max="27" width="11.81640625" bestFit="1" customWidth="1"/>
  </cols>
  <sheetData>
    <row r="1" spans="2:44" x14ac:dyDescent="0.35">
      <c r="B1" t="s">
        <v>12</v>
      </c>
      <c r="C1" t="s">
        <v>13</v>
      </c>
      <c r="D1" t="s">
        <v>17</v>
      </c>
      <c r="F1" t="s">
        <v>18</v>
      </c>
      <c r="Z1" t="s">
        <v>25</v>
      </c>
    </row>
    <row r="2" spans="2:44" x14ac:dyDescent="0.35">
      <c r="B2">
        <v>118.8</v>
      </c>
      <c r="C2">
        <v>53.4</v>
      </c>
      <c r="D2">
        <v>84.100000000000009</v>
      </c>
      <c r="F2">
        <v>99</v>
      </c>
      <c r="G2">
        <v>34</v>
      </c>
      <c r="H2">
        <v>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</v>
      </c>
      <c r="V2">
        <v>0</v>
      </c>
      <c r="W2">
        <v>0</v>
      </c>
      <c r="X2">
        <v>0</v>
      </c>
      <c r="Z2">
        <v>99</v>
      </c>
      <c r="AA2">
        <v>34</v>
      </c>
      <c r="AB2">
        <v>63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2:44" x14ac:dyDescent="0.35">
      <c r="B3">
        <v>270.60000000000002</v>
      </c>
      <c r="C3">
        <v>155.69999999999999</v>
      </c>
      <c r="D3">
        <v>136.19999999999999</v>
      </c>
      <c r="F3">
        <v>143</v>
      </c>
      <c r="G3">
        <v>127</v>
      </c>
      <c r="H3">
        <v>167</v>
      </c>
      <c r="I3">
        <v>99</v>
      </c>
      <c r="J3">
        <v>34</v>
      </c>
      <c r="K3">
        <v>63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87</v>
      </c>
      <c r="V3">
        <v>0</v>
      </c>
      <c r="W3">
        <v>0</v>
      </c>
      <c r="X3">
        <v>0</v>
      </c>
      <c r="Z3">
        <v>143</v>
      </c>
      <c r="AA3">
        <v>127</v>
      </c>
      <c r="AB3">
        <v>167</v>
      </c>
      <c r="AC3">
        <v>99</v>
      </c>
      <c r="AD3">
        <v>34</v>
      </c>
      <c r="AE3">
        <v>63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2:44" x14ac:dyDescent="0.35">
      <c r="B4">
        <v>292.39999999999998</v>
      </c>
      <c r="C4">
        <v>207.70000000000002</v>
      </c>
      <c r="D4">
        <v>80</v>
      </c>
      <c r="F4">
        <v>42</v>
      </c>
      <c r="G4">
        <v>172</v>
      </c>
      <c r="H4">
        <v>-2</v>
      </c>
      <c r="I4">
        <v>143</v>
      </c>
      <c r="J4">
        <v>127</v>
      </c>
      <c r="K4">
        <v>167</v>
      </c>
      <c r="L4">
        <v>99</v>
      </c>
      <c r="M4">
        <v>34</v>
      </c>
      <c r="N4">
        <v>63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43</v>
      </c>
      <c r="V4">
        <v>0</v>
      </c>
      <c r="W4">
        <v>0</v>
      </c>
      <c r="X4">
        <v>0</v>
      </c>
      <c r="Z4">
        <v>42</v>
      </c>
      <c r="AA4">
        <v>172</v>
      </c>
      <c r="AB4">
        <v>-2</v>
      </c>
      <c r="AC4">
        <v>143</v>
      </c>
      <c r="AD4">
        <v>127</v>
      </c>
      <c r="AE4">
        <v>167</v>
      </c>
      <c r="AF4">
        <v>99</v>
      </c>
      <c r="AG4">
        <v>34</v>
      </c>
      <c r="AH4">
        <v>63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2:44" x14ac:dyDescent="0.35">
      <c r="B5">
        <v>185.60000000000002</v>
      </c>
      <c r="C5">
        <v>390.09999999999997</v>
      </c>
      <c r="D5">
        <v>63.399999999999991</v>
      </c>
      <c r="F5">
        <v>-82</v>
      </c>
      <c r="G5">
        <v>335</v>
      </c>
      <c r="H5">
        <v>38</v>
      </c>
      <c r="I5">
        <v>42</v>
      </c>
      <c r="J5">
        <v>172</v>
      </c>
      <c r="K5">
        <v>-2</v>
      </c>
      <c r="L5">
        <v>143</v>
      </c>
      <c r="M5">
        <v>127</v>
      </c>
      <c r="N5">
        <v>167</v>
      </c>
      <c r="O5">
        <v>99</v>
      </c>
      <c r="P5">
        <v>34</v>
      </c>
      <c r="Q5">
        <v>63</v>
      </c>
      <c r="R5">
        <v>0</v>
      </c>
      <c r="S5">
        <v>0</v>
      </c>
      <c r="T5">
        <v>0</v>
      </c>
      <c r="U5">
        <v>18</v>
      </c>
      <c r="V5">
        <v>0</v>
      </c>
      <c r="W5">
        <v>0</v>
      </c>
      <c r="X5">
        <v>0</v>
      </c>
      <c r="Z5">
        <v>-82</v>
      </c>
      <c r="AA5">
        <v>335</v>
      </c>
      <c r="AB5">
        <v>38</v>
      </c>
      <c r="AC5">
        <v>42</v>
      </c>
      <c r="AD5">
        <v>172</v>
      </c>
      <c r="AE5">
        <v>-2</v>
      </c>
      <c r="AF5">
        <v>143</v>
      </c>
      <c r="AG5">
        <v>127</v>
      </c>
      <c r="AH5">
        <v>167</v>
      </c>
      <c r="AI5">
        <v>99</v>
      </c>
      <c r="AJ5">
        <v>34</v>
      </c>
      <c r="AK5">
        <v>63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2:44" x14ac:dyDescent="0.35">
      <c r="B6">
        <v>-171.59999999999997</v>
      </c>
      <c r="C6">
        <v>218.7</v>
      </c>
      <c r="D6">
        <v>461.3</v>
      </c>
      <c r="F6">
        <v>-283</v>
      </c>
      <c r="G6">
        <v>335</v>
      </c>
      <c r="H6">
        <v>-284</v>
      </c>
      <c r="I6">
        <v>-82</v>
      </c>
      <c r="J6">
        <v>335</v>
      </c>
      <c r="K6">
        <v>38</v>
      </c>
      <c r="L6">
        <v>42</v>
      </c>
      <c r="M6">
        <v>172</v>
      </c>
      <c r="N6">
        <v>-2</v>
      </c>
      <c r="O6">
        <v>143</v>
      </c>
      <c r="P6">
        <v>127</v>
      </c>
      <c r="Q6">
        <v>167</v>
      </c>
      <c r="R6">
        <v>99</v>
      </c>
      <c r="S6">
        <v>34</v>
      </c>
      <c r="T6">
        <v>63</v>
      </c>
      <c r="U6">
        <v>-88</v>
      </c>
      <c r="V6">
        <v>0</v>
      </c>
      <c r="W6">
        <v>0</v>
      </c>
      <c r="X6">
        <v>0</v>
      </c>
      <c r="Z6">
        <v>-283</v>
      </c>
      <c r="AA6">
        <v>335</v>
      </c>
      <c r="AB6">
        <v>-284</v>
      </c>
      <c r="AC6">
        <v>-82</v>
      </c>
      <c r="AD6">
        <v>335</v>
      </c>
      <c r="AE6">
        <v>38</v>
      </c>
      <c r="AF6">
        <v>42</v>
      </c>
      <c r="AG6">
        <v>172</v>
      </c>
      <c r="AH6">
        <v>-2</v>
      </c>
      <c r="AI6">
        <v>143</v>
      </c>
      <c r="AJ6">
        <v>127</v>
      </c>
      <c r="AK6">
        <v>167</v>
      </c>
      <c r="AL6">
        <v>99</v>
      </c>
      <c r="AM6">
        <v>34</v>
      </c>
      <c r="AN6">
        <v>63</v>
      </c>
      <c r="AO6">
        <v>0</v>
      </c>
      <c r="AP6">
        <v>0</v>
      </c>
      <c r="AQ6">
        <v>0</v>
      </c>
      <c r="AR6">
        <v>0</v>
      </c>
    </row>
    <row r="7" spans="2:44" x14ac:dyDescent="0.35">
      <c r="B7">
        <v>-700.59999999999991</v>
      </c>
      <c r="C7">
        <v>461.40000000000003</v>
      </c>
      <c r="D7">
        <v>698.99999999999989</v>
      </c>
      <c r="F7">
        <v>-328</v>
      </c>
      <c r="G7">
        <v>439</v>
      </c>
      <c r="H7">
        <v>-151</v>
      </c>
      <c r="I7">
        <v>-283</v>
      </c>
      <c r="J7">
        <v>335</v>
      </c>
      <c r="K7">
        <v>-284</v>
      </c>
      <c r="L7">
        <v>-82</v>
      </c>
      <c r="M7">
        <v>335</v>
      </c>
      <c r="N7">
        <v>38</v>
      </c>
      <c r="O7">
        <v>42</v>
      </c>
      <c r="P7">
        <v>172</v>
      </c>
      <c r="Q7">
        <v>-2</v>
      </c>
      <c r="R7">
        <v>143</v>
      </c>
      <c r="S7">
        <v>127</v>
      </c>
      <c r="T7">
        <v>167</v>
      </c>
      <c r="U7">
        <v>-92</v>
      </c>
      <c r="V7">
        <v>0</v>
      </c>
      <c r="W7">
        <v>0</v>
      </c>
      <c r="X7">
        <v>0</v>
      </c>
      <c r="Z7">
        <v>-328</v>
      </c>
      <c r="AA7">
        <v>439</v>
      </c>
      <c r="AB7">
        <v>-151</v>
      </c>
      <c r="AC7">
        <v>-283</v>
      </c>
      <c r="AD7">
        <v>335</v>
      </c>
      <c r="AE7">
        <v>-284</v>
      </c>
      <c r="AF7">
        <v>-82</v>
      </c>
      <c r="AG7">
        <v>335</v>
      </c>
      <c r="AH7">
        <v>38</v>
      </c>
      <c r="AI7">
        <v>42</v>
      </c>
      <c r="AJ7">
        <v>172</v>
      </c>
      <c r="AK7">
        <v>-2</v>
      </c>
      <c r="AL7">
        <v>143</v>
      </c>
      <c r="AM7">
        <v>127</v>
      </c>
      <c r="AN7">
        <v>167</v>
      </c>
      <c r="AO7">
        <v>0</v>
      </c>
      <c r="AP7">
        <v>0</v>
      </c>
      <c r="AQ7">
        <v>0</v>
      </c>
      <c r="AR7">
        <v>0</v>
      </c>
    </row>
    <row r="8" spans="2:44" x14ac:dyDescent="0.35">
      <c r="B8">
        <v>-1243</v>
      </c>
      <c r="C8">
        <v>-347.8</v>
      </c>
      <c r="D8">
        <v>323.8</v>
      </c>
      <c r="F8">
        <v>-350</v>
      </c>
      <c r="G8">
        <v>282</v>
      </c>
      <c r="H8">
        <v>-394</v>
      </c>
      <c r="I8">
        <v>-328</v>
      </c>
      <c r="J8">
        <v>439</v>
      </c>
      <c r="K8">
        <v>-151</v>
      </c>
      <c r="L8">
        <v>-283</v>
      </c>
      <c r="M8">
        <v>335</v>
      </c>
      <c r="N8">
        <v>-284</v>
      </c>
      <c r="O8">
        <v>-82</v>
      </c>
      <c r="P8">
        <v>335</v>
      </c>
      <c r="Q8">
        <v>38</v>
      </c>
      <c r="R8">
        <v>42</v>
      </c>
      <c r="S8">
        <v>172</v>
      </c>
      <c r="T8">
        <v>-2</v>
      </c>
      <c r="U8">
        <v>-150</v>
      </c>
      <c r="V8">
        <v>0</v>
      </c>
      <c r="W8">
        <v>0</v>
      </c>
      <c r="X8">
        <v>0</v>
      </c>
      <c r="Z8">
        <v>-350</v>
      </c>
      <c r="AA8">
        <v>282</v>
      </c>
      <c r="AB8">
        <v>-394</v>
      </c>
      <c r="AC8">
        <v>-328</v>
      </c>
      <c r="AD8">
        <v>439</v>
      </c>
      <c r="AE8">
        <v>-151</v>
      </c>
      <c r="AF8">
        <v>-283</v>
      </c>
      <c r="AG8">
        <v>335</v>
      </c>
      <c r="AH8">
        <v>-284</v>
      </c>
      <c r="AI8">
        <v>-82</v>
      </c>
      <c r="AJ8">
        <v>335</v>
      </c>
      <c r="AK8">
        <v>38</v>
      </c>
      <c r="AL8">
        <v>42</v>
      </c>
      <c r="AM8">
        <v>172</v>
      </c>
      <c r="AN8">
        <v>-2</v>
      </c>
      <c r="AO8">
        <v>0</v>
      </c>
      <c r="AP8">
        <v>0</v>
      </c>
      <c r="AQ8">
        <v>0</v>
      </c>
      <c r="AR8">
        <v>0</v>
      </c>
    </row>
    <row r="9" spans="2:44" x14ac:dyDescent="0.35">
      <c r="B9">
        <v>-1588</v>
      </c>
      <c r="C9">
        <v>-114.39999999999998</v>
      </c>
      <c r="D9">
        <v>211.39999999999998</v>
      </c>
      <c r="F9">
        <v>-175</v>
      </c>
      <c r="G9">
        <v>250</v>
      </c>
      <c r="H9">
        <v>-75</v>
      </c>
      <c r="I9">
        <v>-350</v>
      </c>
      <c r="J9">
        <v>282</v>
      </c>
      <c r="K9">
        <v>-394</v>
      </c>
      <c r="L9">
        <v>-328</v>
      </c>
      <c r="M9">
        <v>439</v>
      </c>
      <c r="N9">
        <v>-151</v>
      </c>
      <c r="O9">
        <v>-283</v>
      </c>
      <c r="P9">
        <v>335</v>
      </c>
      <c r="Q9">
        <v>-284</v>
      </c>
      <c r="R9">
        <v>-82</v>
      </c>
      <c r="S9">
        <v>335</v>
      </c>
      <c r="T9">
        <v>38</v>
      </c>
      <c r="U9">
        <v>-75</v>
      </c>
      <c r="V9">
        <v>0</v>
      </c>
      <c r="W9">
        <v>0</v>
      </c>
      <c r="X9">
        <v>0</v>
      </c>
      <c r="Z9">
        <v>-175</v>
      </c>
      <c r="AA9">
        <v>250</v>
      </c>
      <c r="AB9">
        <v>-75</v>
      </c>
      <c r="AC9">
        <v>-350</v>
      </c>
      <c r="AD9">
        <v>282</v>
      </c>
      <c r="AE9">
        <v>-394</v>
      </c>
      <c r="AF9">
        <v>-328</v>
      </c>
      <c r="AG9">
        <v>439</v>
      </c>
      <c r="AH9">
        <v>-151</v>
      </c>
      <c r="AI9">
        <v>-283</v>
      </c>
      <c r="AJ9">
        <v>335</v>
      </c>
      <c r="AK9">
        <v>-284</v>
      </c>
      <c r="AL9">
        <v>-82</v>
      </c>
      <c r="AM9">
        <v>335</v>
      </c>
      <c r="AN9">
        <v>38</v>
      </c>
      <c r="AO9">
        <v>0</v>
      </c>
      <c r="AP9">
        <v>0</v>
      </c>
      <c r="AQ9">
        <v>0</v>
      </c>
      <c r="AR9">
        <v>0</v>
      </c>
    </row>
    <row r="10" spans="2:44" x14ac:dyDescent="0.35">
      <c r="B10">
        <v>-1544.2</v>
      </c>
      <c r="C10">
        <v>-1064.4000000000001</v>
      </c>
      <c r="D10">
        <v>-563.20000000000005</v>
      </c>
      <c r="F10">
        <v>-61</v>
      </c>
      <c r="G10">
        <v>-18</v>
      </c>
      <c r="H10">
        <v>-214</v>
      </c>
      <c r="I10">
        <v>-175</v>
      </c>
      <c r="J10">
        <v>250</v>
      </c>
      <c r="K10">
        <v>-75</v>
      </c>
      <c r="L10">
        <v>-350</v>
      </c>
      <c r="M10">
        <v>282</v>
      </c>
      <c r="N10">
        <v>-394</v>
      </c>
      <c r="O10">
        <v>-328</v>
      </c>
      <c r="P10">
        <v>439</v>
      </c>
      <c r="Q10">
        <v>-151</v>
      </c>
      <c r="R10">
        <v>-283</v>
      </c>
      <c r="S10">
        <v>335</v>
      </c>
      <c r="T10">
        <v>-284</v>
      </c>
      <c r="U10">
        <v>-80</v>
      </c>
      <c r="V10">
        <v>0</v>
      </c>
      <c r="W10">
        <v>0</v>
      </c>
      <c r="X10">
        <v>0</v>
      </c>
      <c r="Z10">
        <v>-61</v>
      </c>
      <c r="AA10">
        <v>-18</v>
      </c>
      <c r="AB10">
        <v>-214</v>
      </c>
      <c r="AC10">
        <v>-175</v>
      </c>
      <c r="AD10">
        <v>250</v>
      </c>
      <c r="AE10">
        <v>-75</v>
      </c>
      <c r="AF10">
        <v>-350</v>
      </c>
      <c r="AG10">
        <v>282</v>
      </c>
      <c r="AH10">
        <v>-394</v>
      </c>
      <c r="AI10">
        <v>-328</v>
      </c>
      <c r="AJ10">
        <v>439</v>
      </c>
      <c r="AK10">
        <v>-151</v>
      </c>
      <c r="AL10">
        <v>-283</v>
      </c>
      <c r="AM10">
        <v>335</v>
      </c>
      <c r="AN10">
        <v>-284</v>
      </c>
      <c r="AO10">
        <v>0</v>
      </c>
      <c r="AP10">
        <v>0</v>
      </c>
      <c r="AQ10">
        <v>0</v>
      </c>
      <c r="AR10">
        <v>0</v>
      </c>
    </row>
    <row r="11" spans="2:44" x14ac:dyDescent="0.35">
      <c r="B11">
        <v>-1217.4000000000001</v>
      </c>
      <c r="C11">
        <v>-423.7</v>
      </c>
      <c r="D11">
        <v>-393.2</v>
      </c>
      <c r="F11">
        <v>113</v>
      </c>
      <c r="G11">
        <v>-85</v>
      </c>
      <c r="H11">
        <v>120</v>
      </c>
      <c r="I11">
        <v>-61</v>
      </c>
      <c r="J11">
        <v>-18</v>
      </c>
      <c r="K11">
        <v>-214</v>
      </c>
      <c r="L11">
        <v>-175</v>
      </c>
      <c r="M11">
        <v>250</v>
      </c>
      <c r="N11">
        <v>-75</v>
      </c>
      <c r="O11">
        <v>-350</v>
      </c>
      <c r="P11">
        <v>282</v>
      </c>
      <c r="Q11">
        <v>-394</v>
      </c>
      <c r="R11">
        <v>-328</v>
      </c>
      <c r="S11">
        <v>439</v>
      </c>
      <c r="T11">
        <v>-151</v>
      </c>
      <c r="U11">
        <v>8</v>
      </c>
      <c r="V11">
        <v>0</v>
      </c>
      <c r="W11">
        <v>0</v>
      </c>
      <c r="X11">
        <v>0</v>
      </c>
      <c r="Z11">
        <v>113</v>
      </c>
      <c r="AA11">
        <v>-85</v>
      </c>
      <c r="AB11">
        <v>120</v>
      </c>
      <c r="AC11">
        <v>-61</v>
      </c>
      <c r="AD11">
        <v>-18</v>
      </c>
      <c r="AE11">
        <v>-214</v>
      </c>
      <c r="AF11">
        <v>-175</v>
      </c>
      <c r="AG11">
        <v>250</v>
      </c>
      <c r="AH11">
        <v>-75</v>
      </c>
      <c r="AI11">
        <v>-350</v>
      </c>
      <c r="AJ11">
        <v>282</v>
      </c>
      <c r="AK11">
        <v>-394</v>
      </c>
      <c r="AL11">
        <v>-328</v>
      </c>
      <c r="AM11">
        <v>439</v>
      </c>
      <c r="AN11">
        <v>-151</v>
      </c>
      <c r="AO11">
        <v>0</v>
      </c>
      <c r="AP11">
        <v>0</v>
      </c>
      <c r="AQ11">
        <v>0</v>
      </c>
      <c r="AR11">
        <v>0</v>
      </c>
    </row>
    <row r="12" spans="2:44" x14ac:dyDescent="0.35">
      <c r="B12">
        <v>-618.20000000000005</v>
      </c>
      <c r="C12">
        <v>-1067.6000000000001</v>
      </c>
      <c r="D12">
        <v>-874.5</v>
      </c>
      <c r="F12">
        <v>114</v>
      </c>
      <c r="G12">
        <v>-290</v>
      </c>
      <c r="H12">
        <v>-51</v>
      </c>
      <c r="I12">
        <v>113</v>
      </c>
      <c r="J12">
        <v>-85</v>
      </c>
      <c r="K12">
        <v>120</v>
      </c>
      <c r="L12">
        <v>-61</v>
      </c>
      <c r="M12">
        <v>-18</v>
      </c>
      <c r="N12">
        <v>-214</v>
      </c>
      <c r="O12">
        <v>-175</v>
      </c>
      <c r="P12">
        <v>250</v>
      </c>
      <c r="Q12">
        <v>-75</v>
      </c>
      <c r="R12">
        <v>-350</v>
      </c>
      <c r="S12">
        <v>282</v>
      </c>
      <c r="T12">
        <v>-394</v>
      </c>
      <c r="U12">
        <v>-17</v>
      </c>
      <c r="V12">
        <v>0</v>
      </c>
      <c r="W12">
        <v>0</v>
      </c>
      <c r="X12">
        <v>0</v>
      </c>
      <c r="Z12">
        <v>114</v>
      </c>
      <c r="AA12">
        <v>-290</v>
      </c>
      <c r="AB12">
        <v>-51</v>
      </c>
      <c r="AC12">
        <v>113</v>
      </c>
      <c r="AD12">
        <v>-85</v>
      </c>
      <c r="AE12">
        <v>120</v>
      </c>
      <c r="AF12">
        <v>-61</v>
      </c>
      <c r="AG12">
        <v>-18</v>
      </c>
      <c r="AH12">
        <v>-214</v>
      </c>
      <c r="AI12">
        <v>-175</v>
      </c>
      <c r="AJ12">
        <v>250</v>
      </c>
      <c r="AK12">
        <v>-75</v>
      </c>
      <c r="AL12">
        <v>-350</v>
      </c>
      <c r="AM12">
        <v>282</v>
      </c>
      <c r="AN12">
        <v>-394</v>
      </c>
      <c r="AO12">
        <v>0</v>
      </c>
      <c r="AP12">
        <v>0</v>
      </c>
      <c r="AQ12">
        <v>0</v>
      </c>
      <c r="AR12">
        <v>0</v>
      </c>
    </row>
    <row r="13" spans="2:44" x14ac:dyDescent="0.35">
      <c r="B13">
        <v>-117.39999999999998</v>
      </c>
      <c r="C13">
        <v>-91.7</v>
      </c>
      <c r="D13">
        <v>-198.49999999999994</v>
      </c>
      <c r="F13">
        <v>118</v>
      </c>
      <c r="G13">
        <v>-265</v>
      </c>
      <c r="H13">
        <v>138</v>
      </c>
      <c r="I13">
        <v>114</v>
      </c>
      <c r="J13">
        <v>-290</v>
      </c>
      <c r="K13">
        <v>-51</v>
      </c>
      <c r="L13">
        <v>113</v>
      </c>
      <c r="M13">
        <v>-85</v>
      </c>
      <c r="N13">
        <v>120</v>
      </c>
      <c r="O13">
        <v>-61</v>
      </c>
      <c r="P13">
        <v>-18</v>
      </c>
      <c r="Q13">
        <v>-214</v>
      </c>
      <c r="R13">
        <v>-175</v>
      </c>
      <c r="S13">
        <v>250</v>
      </c>
      <c r="T13">
        <v>-75</v>
      </c>
      <c r="U13">
        <v>18</v>
      </c>
      <c r="V13">
        <v>0</v>
      </c>
      <c r="W13">
        <v>0</v>
      </c>
      <c r="X13">
        <v>0</v>
      </c>
      <c r="Z13">
        <v>118</v>
      </c>
      <c r="AA13">
        <v>-265</v>
      </c>
      <c r="AB13">
        <v>138</v>
      </c>
      <c r="AC13">
        <v>114</v>
      </c>
      <c r="AD13">
        <v>-290</v>
      </c>
      <c r="AE13">
        <v>-51</v>
      </c>
      <c r="AF13">
        <v>113</v>
      </c>
      <c r="AG13">
        <v>-85</v>
      </c>
      <c r="AH13">
        <v>120</v>
      </c>
      <c r="AI13">
        <v>-61</v>
      </c>
      <c r="AJ13">
        <v>-18</v>
      </c>
      <c r="AK13">
        <v>-214</v>
      </c>
      <c r="AL13">
        <v>-175</v>
      </c>
      <c r="AM13">
        <v>250</v>
      </c>
      <c r="AN13">
        <v>-75</v>
      </c>
      <c r="AO13">
        <v>0</v>
      </c>
      <c r="AP13">
        <v>0</v>
      </c>
      <c r="AQ13">
        <v>0</v>
      </c>
      <c r="AR13">
        <v>0</v>
      </c>
    </row>
    <row r="14" spans="2:44" x14ac:dyDescent="0.35">
      <c r="B14">
        <v>320</v>
      </c>
      <c r="C14">
        <v>-566.5</v>
      </c>
      <c r="D14">
        <v>-498.90000000000003</v>
      </c>
      <c r="F14">
        <v>15</v>
      </c>
      <c r="G14">
        <v>-312</v>
      </c>
      <c r="H14">
        <v>-51</v>
      </c>
      <c r="I14">
        <v>118</v>
      </c>
      <c r="J14">
        <v>-265</v>
      </c>
      <c r="K14">
        <v>138</v>
      </c>
      <c r="L14">
        <v>114</v>
      </c>
      <c r="M14">
        <v>-290</v>
      </c>
      <c r="N14">
        <v>-51</v>
      </c>
      <c r="O14">
        <v>113</v>
      </c>
      <c r="P14">
        <v>-85</v>
      </c>
      <c r="Q14">
        <v>120</v>
      </c>
      <c r="R14">
        <v>-61</v>
      </c>
      <c r="S14">
        <v>-18</v>
      </c>
      <c r="T14">
        <v>-214</v>
      </c>
      <c r="U14">
        <v>-28</v>
      </c>
      <c r="V14">
        <v>0</v>
      </c>
      <c r="W14">
        <v>0</v>
      </c>
      <c r="X14">
        <v>0</v>
      </c>
      <c r="Z14">
        <v>15</v>
      </c>
      <c r="AA14">
        <v>-312</v>
      </c>
      <c r="AB14">
        <v>-51</v>
      </c>
      <c r="AC14">
        <v>118</v>
      </c>
      <c r="AD14">
        <v>-265</v>
      </c>
      <c r="AE14">
        <v>138</v>
      </c>
      <c r="AF14">
        <v>114</v>
      </c>
      <c r="AG14">
        <v>-290</v>
      </c>
      <c r="AH14">
        <v>-51</v>
      </c>
      <c r="AI14">
        <v>113</v>
      </c>
      <c r="AJ14">
        <v>-85</v>
      </c>
      <c r="AK14">
        <v>120</v>
      </c>
      <c r="AL14">
        <v>-61</v>
      </c>
      <c r="AM14">
        <v>-18</v>
      </c>
      <c r="AN14">
        <v>-214</v>
      </c>
      <c r="AO14">
        <v>0</v>
      </c>
      <c r="AP14">
        <v>0</v>
      </c>
      <c r="AQ14">
        <v>0</v>
      </c>
      <c r="AR14">
        <v>0</v>
      </c>
    </row>
    <row r="15" spans="2:44" x14ac:dyDescent="0.35">
      <c r="B15">
        <v>425.8</v>
      </c>
      <c r="C15">
        <v>251.29999999999998</v>
      </c>
      <c r="D15">
        <v>99.2</v>
      </c>
      <c r="F15">
        <v>-16</v>
      </c>
      <c r="G15">
        <v>-197</v>
      </c>
      <c r="H15">
        <v>37</v>
      </c>
      <c r="I15">
        <v>15</v>
      </c>
      <c r="J15">
        <v>-312</v>
      </c>
      <c r="K15">
        <v>-51</v>
      </c>
      <c r="L15">
        <v>118</v>
      </c>
      <c r="M15">
        <v>-265</v>
      </c>
      <c r="N15">
        <v>138</v>
      </c>
      <c r="O15">
        <v>114</v>
      </c>
      <c r="P15">
        <v>-290</v>
      </c>
      <c r="Q15">
        <v>-51</v>
      </c>
      <c r="R15">
        <v>113</v>
      </c>
      <c r="S15">
        <v>-85</v>
      </c>
      <c r="T15">
        <v>120</v>
      </c>
      <c r="U15">
        <v>-13</v>
      </c>
      <c r="V15">
        <v>0</v>
      </c>
      <c r="W15">
        <v>0</v>
      </c>
      <c r="X15">
        <v>0</v>
      </c>
      <c r="Z15">
        <v>-16</v>
      </c>
      <c r="AA15">
        <v>-197</v>
      </c>
      <c r="AB15">
        <v>37</v>
      </c>
      <c r="AC15">
        <v>15</v>
      </c>
      <c r="AD15">
        <v>-312</v>
      </c>
      <c r="AE15">
        <v>-51</v>
      </c>
      <c r="AF15">
        <v>118</v>
      </c>
      <c r="AG15">
        <v>-265</v>
      </c>
      <c r="AH15">
        <v>138</v>
      </c>
      <c r="AI15">
        <v>114</v>
      </c>
      <c r="AJ15">
        <v>-290</v>
      </c>
      <c r="AK15">
        <v>-51</v>
      </c>
      <c r="AL15">
        <v>113</v>
      </c>
      <c r="AM15">
        <v>-85</v>
      </c>
      <c r="AN15">
        <v>120</v>
      </c>
      <c r="AO15">
        <v>0</v>
      </c>
      <c r="AP15">
        <v>0</v>
      </c>
      <c r="AQ15">
        <v>0</v>
      </c>
      <c r="AR15">
        <v>0</v>
      </c>
    </row>
    <row r="16" spans="2:44" x14ac:dyDescent="0.35">
      <c r="B16">
        <v>476.6</v>
      </c>
      <c r="C16">
        <v>-244.29999999999998</v>
      </c>
      <c r="D16">
        <v>-439.4</v>
      </c>
      <c r="F16">
        <v>-37</v>
      </c>
      <c r="G16">
        <v>-125</v>
      </c>
      <c r="H16">
        <v>-40</v>
      </c>
      <c r="I16">
        <v>-16</v>
      </c>
      <c r="J16">
        <v>-197</v>
      </c>
      <c r="K16">
        <v>37</v>
      </c>
      <c r="L16">
        <v>15</v>
      </c>
      <c r="M16">
        <v>-312</v>
      </c>
      <c r="N16">
        <v>-51</v>
      </c>
      <c r="O16">
        <v>118</v>
      </c>
      <c r="P16">
        <v>-265</v>
      </c>
      <c r="Q16">
        <v>138</v>
      </c>
      <c r="R16">
        <v>114</v>
      </c>
      <c r="S16">
        <v>-290</v>
      </c>
      <c r="T16">
        <v>-51</v>
      </c>
      <c r="U16">
        <v>-22</v>
      </c>
      <c r="V16">
        <v>0</v>
      </c>
      <c r="W16">
        <v>0</v>
      </c>
      <c r="X16">
        <v>0</v>
      </c>
      <c r="Z16">
        <v>-37</v>
      </c>
      <c r="AA16">
        <v>-125</v>
      </c>
      <c r="AB16">
        <v>-40</v>
      </c>
      <c r="AC16">
        <v>-16</v>
      </c>
      <c r="AD16">
        <v>-197</v>
      </c>
      <c r="AE16">
        <v>37</v>
      </c>
      <c r="AF16">
        <v>15</v>
      </c>
      <c r="AG16">
        <v>-312</v>
      </c>
      <c r="AH16">
        <v>-51</v>
      </c>
      <c r="AI16">
        <v>118</v>
      </c>
      <c r="AJ16">
        <v>-265</v>
      </c>
      <c r="AK16">
        <v>138</v>
      </c>
      <c r="AL16">
        <v>114</v>
      </c>
      <c r="AM16">
        <v>-290</v>
      </c>
      <c r="AN16">
        <v>-51</v>
      </c>
      <c r="AO16">
        <v>0</v>
      </c>
      <c r="AP16">
        <v>0</v>
      </c>
      <c r="AQ16">
        <v>0</v>
      </c>
      <c r="AR16">
        <v>0</v>
      </c>
    </row>
    <row r="17" spans="2:44" x14ac:dyDescent="0.35">
      <c r="B17">
        <v>345</v>
      </c>
      <c r="C17">
        <v>228</v>
      </c>
      <c r="D17">
        <v>-188.60000000000002</v>
      </c>
      <c r="F17">
        <v>0</v>
      </c>
      <c r="G17">
        <v>0</v>
      </c>
      <c r="H17">
        <v>0</v>
      </c>
      <c r="I17">
        <v>-37</v>
      </c>
      <c r="J17">
        <v>-125</v>
      </c>
      <c r="K17">
        <v>-40</v>
      </c>
      <c r="L17">
        <v>-16</v>
      </c>
      <c r="M17">
        <v>-197</v>
      </c>
      <c r="N17">
        <v>37</v>
      </c>
      <c r="O17">
        <v>15</v>
      </c>
      <c r="P17">
        <v>-312</v>
      </c>
      <c r="Q17">
        <v>-51</v>
      </c>
      <c r="R17">
        <v>118</v>
      </c>
      <c r="S17">
        <v>-265</v>
      </c>
      <c r="T17">
        <v>138</v>
      </c>
      <c r="U17">
        <v>0</v>
      </c>
      <c r="V17">
        <v>0</v>
      </c>
      <c r="W17">
        <v>0</v>
      </c>
      <c r="X17">
        <v>0</v>
      </c>
      <c r="Z17">
        <v>0</v>
      </c>
      <c r="AA17">
        <v>0</v>
      </c>
      <c r="AB17">
        <v>0</v>
      </c>
      <c r="AC17">
        <v>-37</v>
      </c>
      <c r="AD17">
        <v>-125</v>
      </c>
      <c r="AE17">
        <v>-40</v>
      </c>
      <c r="AF17">
        <v>-16</v>
      </c>
      <c r="AG17">
        <v>-197</v>
      </c>
      <c r="AH17">
        <v>37</v>
      </c>
      <c r="AI17">
        <v>15</v>
      </c>
      <c r="AJ17">
        <v>-312</v>
      </c>
      <c r="AK17">
        <v>-51</v>
      </c>
      <c r="AL17">
        <v>118</v>
      </c>
      <c r="AM17">
        <v>-265</v>
      </c>
      <c r="AN17">
        <v>138</v>
      </c>
      <c r="AO17">
        <v>1</v>
      </c>
      <c r="AP17">
        <v>0</v>
      </c>
      <c r="AQ17">
        <v>0</v>
      </c>
      <c r="AR17">
        <v>0</v>
      </c>
    </row>
    <row r="18" spans="2:44" x14ac:dyDescent="0.35">
      <c r="B18">
        <v>274</v>
      </c>
      <c r="C18">
        <v>-169.8</v>
      </c>
      <c r="D18">
        <v>-719.09999999999991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-37</v>
      </c>
      <c r="M18">
        <v>-125</v>
      </c>
      <c r="N18">
        <v>-40</v>
      </c>
      <c r="O18">
        <v>-16</v>
      </c>
      <c r="P18">
        <v>-197</v>
      </c>
      <c r="Q18">
        <v>37</v>
      </c>
      <c r="R18">
        <v>15</v>
      </c>
      <c r="S18">
        <v>-312</v>
      </c>
      <c r="T18">
        <v>-51</v>
      </c>
      <c r="U18">
        <v>22</v>
      </c>
      <c r="V18">
        <v>1</v>
      </c>
      <c r="W18">
        <v>0</v>
      </c>
      <c r="X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-37</v>
      </c>
      <c r="AG18">
        <v>-125</v>
      </c>
      <c r="AH18">
        <v>-40</v>
      </c>
      <c r="AI18">
        <v>-16</v>
      </c>
      <c r="AJ18">
        <v>-197</v>
      </c>
      <c r="AK18">
        <v>37</v>
      </c>
      <c r="AL18">
        <v>15</v>
      </c>
      <c r="AM18">
        <v>-312</v>
      </c>
      <c r="AN18">
        <v>-51</v>
      </c>
      <c r="AO18">
        <v>0</v>
      </c>
      <c r="AP18">
        <v>1</v>
      </c>
      <c r="AQ18">
        <v>0</v>
      </c>
      <c r="AR18">
        <v>0</v>
      </c>
    </row>
    <row r="19" spans="2:44" x14ac:dyDescent="0.35">
      <c r="B19">
        <v>144</v>
      </c>
      <c r="C19">
        <v>75.3</v>
      </c>
      <c r="D19">
        <v>-435.59999999999997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-37</v>
      </c>
      <c r="P19">
        <v>-125</v>
      </c>
      <c r="Q19">
        <v>-40</v>
      </c>
      <c r="R19">
        <v>-16</v>
      </c>
      <c r="S19">
        <v>-197</v>
      </c>
      <c r="T19">
        <v>37</v>
      </c>
      <c r="U19">
        <v>13</v>
      </c>
      <c r="V19">
        <v>0</v>
      </c>
      <c r="W19">
        <v>1</v>
      </c>
      <c r="X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-37</v>
      </c>
      <c r="AJ19">
        <v>-125</v>
      </c>
      <c r="AK19">
        <v>-40</v>
      </c>
      <c r="AL19">
        <v>-16</v>
      </c>
      <c r="AM19">
        <v>-197</v>
      </c>
      <c r="AN19">
        <v>37</v>
      </c>
      <c r="AO19">
        <v>0</v>
      </c>
      <c r="AP19">
        <v>0</v>
      </c>
      <c r="AQ19">
        <v>1</v>
      </c>
      <c r="AR19">
        <v>0</v>
      </c>
    </row>
    <row r="20" spans="2:44" x14ac:dyDescent="0.35">
      <c r="B20">
        <v>88</v>
      </c>
      <c r="C20">
        <v>-77.2</v>
      </c>
      <c r="D20">
        <v>-401.2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-37</v>
      </c>
      <c r="S20">
        <v>-125</v>
      </c>
      <c r="T20">
        <v>-40</v>
      </c>
      <c r="U20">
        <v>28</v>
      </c>
      <c r="V20">
        <v>0</v>
      </c>
      <c r="W20">
        <v>0</v>
      </c>
      <c r="X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-37</v>
      </c>
      <c r="AM20">
        <v>-125</v>
      </c>
      <c r="AN20">
        <v>-40</v>
      </c>
      <c r="AO20">
        <v>0</v>
      </c>
      <c r="AP20">
        <v>0</v>
      </c>
      <c r="AQ20">
        <v>0</v>
      </c>
      <c r="AR20">
        <v>1</v>
      </c>
    </row>
    <row r="23" spans="2:44" x14ac:dyDescent="0.35">
      <c r="C23" t="s">
        <v>26</v>
      </c>
      <c r="W23" t="s">
        <v>27</v>
      </c>
    </row>
    <row r="24" spans="2:44" x14ac:dyDescent="0.35">
      <c r="C24" cm="1">
        <f t="array" ref="C24:U42">MINVERSE(Z2:AR20)</f>
        <v>1.6485566369959771E-2</v>
      </c>
      <c r="D24">
        <v>1.5646934559678265E-4</v>
      </c>
      <c r="E24">
        <v>-3.0953920720858154E-3</v>
      </c>
      <c r="F24">
        <v>8.8936802750481991E-2</v>
      </c>
      <c r="G24">
        <v>-0.21766730297933781</v>
      </c>
      <c r="H24">
        <v>-2.4951440234363166E-2</v>
      </c>
      <c r="I24">
        <v>0.47437147918202216</v>
      </c>
      <c r="J24">
        <v>-0.21474609239066494</v>
      </c>
      <c r="K24">
        <v>-0.53581265655905963</v>
      </c>
      <c r="L24">
        <v>0.446998170432444</v>
      </c>
      <c r="M24">
        <v>0.33342601459340154</v>
      </c>
      <c r="N24">
        <v>-0.46477574947816974</v>
      </c>
      <c r="O24">
        <v>-3.2258811489877776E-2</v>
      </c>
      <c r="P24">
        <v>0.22904002470744297</v>
      </c>
      <c r="Q24">
        <v>-8.7028122819265238E-2</v>
      </c>
      <c r="R24">
        <v>-1.4637277937055633E-17</v>
      </c>
      <c r="S24">
        <v>0</v>
      </c>
      <c r="T24">
        <v>0</v>
      </c>
      <c r="U24">
        <v>0</v>
      </c>
      <c r="W24" cm="1">
        <f t="array" ref="W24:Y42">MMULT(_xlfn.ANCHORARRAY(C24),B2:D20)</f>
        <v>1.199999999998193</v>
      </c>
      <c r="X24">
        <v>9.3679364336374471E-2</v>
      </c>
      <c r="Y24">
        <v>0.89367936433739026</v>
      </c>
    </row>
    <row r="25" spans="2:44" x14ac:dyDescent="0.35">
      <c r="C25">
        <v>6.6792643579012146E-3</v>
      </c>
      <c r="D25">
        <v>1.0207150401545155E-2</v>
      </c>
      <c r="E25">
        <v>-1.2628501309762346E-2</v>
      </c>
      <c r="F25">
        <v>6.4565380519837068E-2</v>
      </c>
      <c r="G25">
        <v>-4.9816975521163744E-2</v>
      </c>
      <c r="H25">
        <v>-0.22253010754912755</v>
      </c>
      <c r="I25">
        <v>0.33760056994631082</v>
      </c>
      <c r="J25">
        <v>0.28087111344450583</v>
      </c>
      <c r="K25">
        <v>-0.84009683785821387</v>
      </c>
      <c r="L25">
        <v>0.20866575580385438</v>
      </c>
      <c r="M25">
        <v>0.77934383773118776</v>
      </c>
      <c r="N25">
        <v>-0.65078483048766078</v>
      </c>
      <c r="O25">
        <v>-0.13557708865368015</v>
      </c>
      <c r="P25">
        <v>0.37820321763297499</v>
      </c>
      <c r="Q25">
        <v>-0.13880098262465615</v>
      </c>
      <c r="R25">
        <v>-9.6634992081321506E-18</v>
      </c>
      <c r="S25">
        <v>0</v>
      </c>
      <c r="T25">
        <v>0</v>
      </c>
      <c r="U25">
        <v>0</v>
      </c>
      <c r="W25">
        <v>-5.7176809583488572E-13</v>
      </c>
      <c r="X25">
        <v>0.58329412273113723</v>
      </c>
      <c r="Y25">
        <v>8.3294122731176798E-2</v>
      </c>
    </row>
    <row r="26" spans="2:44" x14ac:dyDescent="0.35">
      <c r="C26">
        <v>-1.363755648880411E-2</v>
      </c>
      <c r="D26">
        <v>-5.7545012518510847E-3</v>
      </c>
      <c r="E26">
        <v>1.1679569201085963E-2</v>
      </c>
      <c r="F26">
        <v>-0.1746026414281299</v>
      </c>
      <c r="G26">
        <v>0.36893397083609547</v>
      </c>
      <c r="H26">
        <v>0.15930501968051231</v>
      </c>
      <c r="I26">
        <v>-0.92763802884436164</v>
      </c>
      <c r="J26">
        <v>0.18587690935813755</v>
      </c>
      <c r="K26">
        <v>1.2953769124845438</v>
      </c>
      <c r="L26">
        <v>-0.81503896143084198</v>
      </c>
      <c r="M26">
        <v>-0.94455342742233583</v>
      </c>
      <c r="N26">
        <v>1.0815791021415764</v>
      </c>
      <c r="O26">
        <v>0.12386100558290497</v>
      </c>
      <c r="P26">
        <v>-0.56402971183425488</v>
      </c>
      <c r="Q26">
        <v>0.21166694552929491</v>
      </c>
      <c r="R26">
        <v>2.8904209680999557E-17</v>
      </c>
      <c r="S26">
        <v>0</v>
      </c>
      <c r="T26">
        <v>0</v>
      </c>
      <c r="U26">
        <v>0</v>
      </c>
      <c r="W26">
        <v>1.3600031502841352E-12</v>
      </c>
      <c r="X26">
        <v>0.38561496440929183</v>
      </c>
      <c r="Y26">
        <v>-0.11438503559199921</v>
      </c>
    </row>
    <row r="27" spans="2:44" x14ac:dyDescent="0.35">
      <c r="C27">
        <v>-6.9980150283963987E-3</v>
      </c>
      <c r="D27">
        <v>1.3499103245547499E-2</v>
      </c>
      <c r="E27">
        <v>-6.610066888474952E-3</v>
      </c>
      <c r="F27">
        <v>0.15593807515511507</v>
      </c>
      <c r="G27">
        <v>-0.38990674369470901</v>
      </c>
      <c r="H27">
        <v>-7.1887407344968721E-2</v>
      </c>
      <c r="I27">
        <v>0.87103910252268635</v>
      </c>
      <c r="J27">
        <v>-0.30793392209574333</v>
      </c>
      <c r="K27">
        <v>-1.0549250123992078</v>
      </c>
      <c r="L27">
        <v>0.74384922436332124</v>
      </c>
      <c r="M27">
        <v>0.72118939369593138</v>
      </c>
      <c r="N27">
        <v>-0.83398554946369241</v>
      </c>
      <c r="O27">
        <v>-0.12368418112999148</v>
      </c>
      <c r="P27">
        <v>0.42167765552948455</v>
      </c>
      <c r="Q27">
        <v>-0.14245862671784901</v>
      </c>
      <c r="R27">
        <v>-3.057911316581593E-17</v>
      </c>
      <c r="S27">
        <v>0</v>
      </c>
      <c r="T27">
        <v>0</v>
      </c>
      <c r="U27">
        <v>0</v>
      </c>
      <c r="W27">
        <v>1.0000000000015241</v>
      </c>
      <c r="X27">
        <v>9.0705796342774786E-2</v>
      </c>
      <c r="Y27">
        <v>9.0705796342375411E-2</v>
      </c>
    </row>
    <row r="28" spans="2:44" x14ac:dyDescent="0.35">
      <c r="C28">
        <v>-1.1122262997220871E-2</v>
      </c>
      <c r="D28">
        <v>-1.4969250650509415E-2</v>
      </c>
      <c r="E28">
        <v>2.7186542540612427E-2</v>
      </c>
      <c r="F28">
        <v>-7.4322476672271695E-2</v>
      </c>
      <c r="G28">
        <v>-0.10243971773080029</v>
      </c>
      <c r="H28">
        <v>0.60188558586307728</v>
      </c>
      <c r="I28">
        <v>-0.46449059137003179</v>
      </c>
      <c r="J28">
        <v>-0.85535043187714954</v>
      </c>
      <c r="K28">
        <v>1.5705276544869384</v>
      </c>
      <c r="L28">
        <v>-0.19663003028878406</v>
      </c>
      <c r="M28">
        <v>-1.4055195430448262</v>
      </c>
      <c r="N28">
        <v>1.0723723881086946</v>
      </c>
      <c r="O28">
        <v>0.18906257802404605</v>
      </c>
      <c r="P28">
        <v>-0.56656621658998074</v>
      </c>
      <c r="Q28">
        <v>0.21661900502713582</v>
      </c>
      <c r="R28">
        <v>-1.5528745874096711E-18</v>
      </c>
      <c r="S28">
        <v>0</v>
      </c>
      <c r="T28">
        <v>0</v>
      </c>
      <c r="U28">
        <v>0</v>
      </c>
      <c r="W28">
        <v>1.1315109598895969E-13</v>
      </c>
      <c r="X28">
        <v>-0.12627334502682466</v>
      </c>
      <c r="Y28">
        <v>7.3726654972859088E-2</v>
      </c>
    </row>
    <row r="29" spans="2:44" x14ac:dyDescent="0.35">
      <c r="C29">
        <v>2.2655523649101131E-3</v>
      </c>
      <c r="D29">
        <v>-2.9387017071321369E-3</v>
      </c>
      <c r="E29">
        <v>-2.7614785453186491E-3</v>
      </c>
      <c r="F29">
        <v>-7.4127464037137922E-2</v>
      </c>
      <c r="G29">
        <v>0.2845226208925159</v>
      </c>
      <c r="H29">
        <v>-0.12891770264420849</v>
      </c>
      <c r="I29">
        <v>-0.41642911321217779</v>
      </c>
      <c r="J29">
        <v>0.37403157004611964</v>
      </c>
      <c r="K29">
        <v>0.28611428390453081</v>
      </c>
      <c r="L29">
        <v>-0.3375465870179119</v>
      </c>
      <c r="M29">
        <v>-0.19882937478667093</v>
      </c>
      <c r="N29">
        <v>0.23163180620440937</v>
      </c>
      <c r="O29">
        <v>0.11052569283771964</v>
      </c>
      <c r="P29">
        <v>-0.14403820364430528</v>
      </c>
      <c r="Q29">
        <v>2.321784646410173E-2</v>
      </c>
      <c r="R29">
        <v>2.513334621898001E-17</v>
      </c>
      <c r="S29">
        <v>0</v>
      </c>
      <c r="T29">
        <v>0</v>
      </c>
      <c r="U29">
        <v>0</v>
      </c>
      <c r="W29">
        <v>1.0265234734218916E-12</v>
      </c>
      <c r="X29">
        <v>-1.363145793958913E-2</v>
      </c>
      <c r="Y29">
        <v>8.6368542059841374E-2</v>
      </c>
    </row>
    <row r="30" spans="2:44" x14ac:dyDescent="0.35">
      <c r="C30">
        <v>-5.1200923221488125E-3</v>
      </c>
      <c r="D30">
        <v>-1.0118371754722208E-2</v>
      </c>
      <c r="E30">
        <v>1.7114399562529227E-2</v>
      </c>
      <c r="F30">
        <v>-0.24667325744283988</v>
      </c>
      <c r="G30">
        <v>0.62517121392763719</v>
      </c>
      <c r="H30">
        <v>-6.4530443258977374E-2</v>
      </c>
      <c r="I30">
        <v>-1.2759738888750647</v>
      </c>
      <c r="J30">
        <v>0.91330997251213286</v>
      </c>
      <c r="K30">
        <v>1.2130476754137878</v>
      </c>
      <c r="L30">
        <v>-1.5055767876072479</v>
      </c>
      <c r="M30">
        <v>-0.54230271463040813</v>
      </c>
      <c r="N30">
        <v>1.3429812306212814</v>
      </c>
      <c r="O30">
        <v>-0.12357555116513701</v>
      </c>
      <c r="P30">
        <v>-0.61367109203686399</v>
      </c>
      <c r="Q30">
        <v>0.28336859745651932</v>
      </c>
      <c r="R30">
        <v>3.6159668320318308E-17</v>
      </c>
      <c r="S30">
        <v>0</v>
      </c>
      <c r="T30">
        <v>0</v>
      </c>
      <c r="U30">
        <v>0</v>
      </c>
      <c r="W30">
        <v>0.99999999999807976</v>
      </c>
      <c r="X30">
        <v>0.84922974787996819</v>
      </c>
      <c r="Y30">
        <v>-0.15077025211943579</v>
      </c>
    </row>
    <row r="31" spans="2:44" x14ac:dyDescent="0.35">
      <c r="C31">
        <v>3.6932273070806269E-3</v>
      </c>
      <c r="D31">
        <v>-6.5883793982262021E-3</v>
      </c>
      <c r="E31">
        <v>-2.8316897748943562E-4</v>
      </c>
      <c r="F31">
        <v>-0.21291965616065991</v>
      </c>
      <c r="G31">
        <v>0.70236921790208684</v>
      </c>
      <c r="H31">
        <v>-0.44471621650881943</v>
      </c>
      <c r="I31">
        <v>-0.79548368432432615</v>
      </c>
      <c r="J31">
        <v>0.96934554033241027</v>
      </c>
      <c r="K31">
        <v>0.43947972057271384</v>
      </c>
      <c r="L31">
        <v>-0.79546845424883894</v>
      </c>
      <c r="M31">
        <v>-0.46417592320163015</v>
      </c>
      <c r="N31">
        <v>0.78490067078717241</v>
      </c>
      <c r="O31">
        <v>0.20214773635878486</v>
      </c>
      <c r="P31">
        <v>-0.60637423700006898</v>
      </c>
      <c r="Q31">
        <v>0.22949972220939371</v>
      </c>
      <c r="R31">
        <v>6.3804250707397848E-17</v>
      </c>
      <c r="S31">
        <v>0</v>
      </c>
      <c r="T31">
        <v>0</v>
      </c>
      <c r="U31">
        <v>0</v>
      </c>
      <c r="W31">
        <v>-1.769394995187758E-13</v>
      </c>
      <c r="X31">
        <v>0.1160898983756059</v>
      </c>
      <c r="Y31">
        <v>-8.3910101624679309E-2</v>
      </c>
    </row>
    <row r="32" spans="2:44" x14ac:dyDescent="0.35">
      <c r="C32">
        <v>8.6938626372192098E-3</v>
      </c>
      <c r="D32">
        <v>-1.3730258291249939E-3</v>
      </c>
      <c r="E32">
        <v>-6.4367365283254296E-3</v>
      </c>
      <c r="F32">
        <v>0.25379715290339994</v>
      </c>
      <c r="G32">
        <v>-0.73131521142789913</v>
      </c>
      <c r="H32">
        <v>0.26222699141103778</v>
      </c>
      <c r="I32">
        <v>1.2301120539879837</v>
      </c>
      <c r="J32">
        <v>-1.1443395865547075</v>
      </c>
      <c r="K32">
        <v>-0.98136999384422363</v>
      </c>
      <c r="L32">
        <v>1.5043710021111536</v>
      </c>
      <c r="M32">
        <v>0.44611452122671152</v>
      </c>
      <c r="N32">
        <v>-1.2958238962644353</v>
      </c>
      <c r="O32">
        <v>8.7315994602528077E-2</v>
      </c>
      <c r="P32">
        <v>0.65523576270173489</v>
      </c>
      <c r="Q32">
        <v>-0.30032711142388963</v>
      </c>
      <c r="R32">
        <v>-4.8280893563538592E-17</v>
      </c>
      <c r="S32">
        <v>0</v>
      </c>
      <c r="T32">
        <v>0</v>
      </c>
      <c r="U32">
        <v>0</v>
      </c>
      <c r="W32">
        <v>4.01865105813872E-14</v>
      </c>
      <c r="X32">
        <v>0.34177056110245341</v>
      </c>
      <c r="Y32">
        <v>0.14177056110259856</v>
      </c>
    </row>
    <row r="33" spans="3:25" x14ac:dyDescent="0.35">
      <c r="C33">
        <v>6.7308307361113951E-3</v>
      </c>
      <c r="D33">
        <v>1.2871363729221142E-2</v>
      </c>
      <c r="E33">
        <v>-1.9806930086770008E-2</v>
      </c>
      <c r="F33">
        <v>0.20296799759776854</v>
      </c>
      <c r="G33">
        <v>-0.33437909607421556</v>
      </c>
      <c r="H33">
        <v>-0.18927409789332725</v>
      </c>
      <c r="I33">
        <v>0.76662048231034041</v>
      </c>
      <c r="J33">
        <v>-0.12365647915586667</v>
      </c>
      <c r="K33">
        <v>-0.90458004049514118</v>
      </c>
      <c r="L33">
        <v>0.50240909129760114</v>
      </c>
      <c r="M33">
        <v>0.61391403773209774</v>
      </c>
      <c r="N33">
        <v>-0.63672818250567709</v>
      </c>
      <c r="O33">
        <v>-0.10097641676583292</v>
      </c>
      <c r="P33">
        <v>0.35815621728945185</v>
      </c>
      <c r="Q33">
        <v>-0.14528830930629014</v>
      </c>
      <c r="R33">
        <v>-1.8676648230796954E-17</v>
      </c>
      <c r="S33">
        <v>0</v>
      </c>
      <c r="T33">
        <v>0</v>
      </c>
      <c r="U33">
        <v>0</v>
      </c>
      <c r="W33">
        <v>1.0000000000002778</v>
      </c>
      <c r="X33">
        <v>0.12267680572603297</v>
      </c>
      <c r="Y33">
        <v>0.32267680572620699</v>
      </c>
    </row>
    <row r="34" spans="3:25" x14ac:dyDescent="0.35">
      <c r="C34">
        <v>6.1309764520929627E-3</v>
      </c>
      <c r="D34">
        <v>2.3644408715059479E-2</v>
      </c>
      <c r="E34">
        <v>-2.9899287291740101E-2</v>
      </c>
      <c r="F34">
        <v>0.45122026689690065</v>
      </c>
      <c r="G34">
        <v>-0.9685883230316249</v>
      </c>
      <c r="H34">
        <v>-0.13992066173151355</v>
      </c>
      <c r="I34">
        <v>1.8305474023501056</v>
      </c>
      <c r="J34">
        <v>-0.3790823646152966</v>
      </c>
      <c r="K34">
        <v>-2.5330438300517266</v>
      </c>
      <c r="L34">
        <v>1.3210042091321565</v>
      </c>
      <c r="M34">
        <v>2.3076779246938148</v>
      </c>
      <c r="N34">
        <v>-2.2641395965362561</v>
      </c>
      <c r="O34">
        <v>-0.54762573308439111</v>
      </c>
      <c r="P34">
        <v>1.4692618272400062</v>
      </c>
      <c r="Q34">
        <v>-0.55789281970167337</v>
      </c>
      <c r="R34">
        <v>-8.9771176079014769E-17</v>
      </c>
      <c r="S34">
        <v>0</v>
      </c>
      <c r="T34">
        <v>0</v>
      </c>
      <c r="U34">
        <v>0</v>
      </c>
      <c r="W34">
        <v>-6.5624866321614827E-13</v>
      </c>
      <c r="X34">
        <v>0.28845785801034024</v>
      </c>
      <c r="Y34">
        <v>0.58845785801112793</v>
      </c>
    </row>
    <row r="35" spans="3:25" x14ac:dyDescent="0.35">
      <c r="C35">
        <v>-3.4853994942055004E-3</v>
      </c>
      <c r="D35">
        <v>-1.1924614698238524E-2</v>
      </c>
      <c r="E35">
        <v>1.2220902601544022E-2</v>
      </c>
      <c r="F35">
        <v>-0.25587691422391895</v>
      </c>
      <c r="G35">
        <v>0.45952438933075496</v>
      </c>
      <c r="H35">
        <v>0.17611802577702959</v>
      </c>
      <c r="I35">
        <v>-0.89751844104811374</v>
      </c>
      <c r="J35">
        <v>7.2421112888347849E-2</v>
      </c>
      <c r="K35">
        <v>1.1635835522686537</v>
      </c>
      <c r="L35">
        <v>-0.47515427390734499</v>
      </c>
      <c r="M35">
        <v>-1.0162620295794507</v>
      </c>
      <c r="N35">
        <v>0.86562908996200338</v>
      </c>
      <c r="O35">
        <v>0.2697796492503986</v>
      </c>
      <c r="P35">
        <v>-0.5889692264461952</v>
      </c>
      <c r="Q35">
        <v>0.22108349635668678</v>
      </c>
      <c r="R35">
        <v>3.5836623511479904E-17</v>
      </c>
      <c r="S35">
        <v>0</v>
      </c>
      <c r="T35">
        <v>0</v>
      </c>
      <c r="U35">
        <v>0</v>
      </c>
      <c r="W35">
        <v>2.6574489826662571E-14</v>
      </c>
      <c r="X35">
        <v>-0.1524541045772157</v>
      </c>
      <c r="Y35">
        <v>0.8475458954221512</v>
      </c>
    </row>
    <row r="36" spans="3:25" x14ac:dyDescent="0.35">
      <c r="C36">
        <v>5.0591064021623701E-3</v>
      </c>
      <c r="D36">
        <v>-9.1545311409927277E-4</v>
      </c>
      <c r="E36">
        <v>9.6028411868562414E-3</v>
      </c>
      <c r="F36">
        <v>8.5320054893449321E-2</v>
      </c>
      <c r="G36">
        <v>-0.22943399440851686</v>
      </c>
      <c r="H36">
        <v>2.1520339111916163E-3</v>
      </c>
      <c r="I36">
        <v>0.45274432971350365</v>
      </c>
      <c r="J36">
        <v>-0.25508328600434504</v>
      </c>
      <c r="K36">
        <v>-0.45381427990984152</v>
      </c>
      <c r="L36">
        <v>0.45301350173377286</v>
      </c>
      <c r="M36">
        <v>0.23231986982802011</v>
      </c>
      <c r="N36">
        <v>-0.42308937433739546</v>
      </c>
      <c r="O36">
        <v>1.7301440097940352E-2</v>
      </c>
      <c r="P36">
        <v>0.19390301496299472</v>
      </c>
      <c r="Q36">
        <v>-8.7291388272539627E-2</v>
      </c>
      <c r="R36">
        <v>-1.2631757887512129E-17</v>
      </c>
      <c r="S36">
        <v>0</v>
      </c>
      <c r="T36">
        <v>0</v>
      </c>
      <c r="U36">
        <v>0</v>
      </c>
      <c r="W36">
        <v>1.0000000000001945</v>
      </c>
      <c r="X36">
        <v>6.0817123956021353E-2</v>
      </c>
      <c r="Y36">
        <v>2.0608171239559945</v>
      </c>
    </row>
    <row r="37" spans="3:25" x14ac:dyDescent="0.35">
      <c r="C37">
        <v>-2.1409491193613351E-3</v>
      </c>
      <c r="D37">
        <v>-1.1295776211335932E-2</v>
      </c>
      <c r="E37">
        <v>1.8470196153663791E-2</v>
      </c>
      <c r="F37">
        <v>-0.22180124804412962</v>
      </c>
      <c r="G37">
        <v>0.38764969894990781</v>
      </c>
      <c r="H37">
        <v>0.22783515933103568</v>
      </c>
      <c r="I37">
        <v>-0.86005436477474451</v>
      </c>
      <c r="J37">
        <v>-9.2852389933844787E-2</v>
      </c>
      <c r="K37">
        <v>1.3610885045902696</v>
      </c>
      <c r="L37">
        <v>-0.46240305897343126</v>
      </c>
      <c r="M37">
        <v>-1.2579084552224309</v>
      </c>
      <c r="N37">
        <v>1.0350804308615851</v>
      </c>
      <c r="O37">
        <v>0.3190413679128391</v>
      </c>
      <c r="P37">
        <v>-0.67654542076066393</v>
      </c>
      <c r="Q37">
        <v>0.24432241125360202</v>
      </c>
      <c r="R37">
        <v>3.6576344973557703E-17</v>
      </c>
      <c r="S37">
        <v>0</v>
      </c>
      <c r="T37">
        <v>0</v>
      </c>
      <c r="U37">
        <v>0</v>
      </c>
      <c r="W37">
        <v>-0.99999999999941891</v>
      </c>
      <c r="X37">
        <v>-0.14713414961857174</v>
      </c>
      <c r="Y37">
        <v>1.8528658503806457</v>
      </c>
    </row>
    <row r="38" spans="3:25" x14ac:dyDescent="0.35">
      <c r="C38">
        <v>-5.8590203977958999E-3</v>
      </c>
      <c r="D38">
        <v>6.3806664479050838E-3</v>
      </c>
      <c r="E38">
        <v>-8.6660761751788176E-3</v>
      </c>
      <c r="F38">
        <v>-4.0618823490642879E-2</v>
      </c>
      <c r="G38">
        <v>0.11892197106966157</v>
      </c>
      <c r="H38">
        <v>-4.2979795800047384E-2</v>
      </c>
      <c r="I38">
        <v>-0.22810460644455008</v>
      </c>
      <c r="J38">
        <v>0.313806271459524</v>
      </c>
      <c r="K38">
        <v>1.6888146088996116E-2</v>
      </c>
      <c r="L38">
        <v>-0.34134137272836934</v>
      </c>
      <c r="M38">
        <v>0.23326466455843445</v>
      </c>
      <c r="N38">
        <v>6.2657330188931673E-2</v>
      </c>
      <c r="O38">
        <v>-0.1467047064371948</v>
      </c>
      <c r="P38">
        <v>5.5856422823938101E-2</v>
      </c>
      <c r="Q38">
        <v>-1.3015702729444324E-3</v>
      </c>
      <c r="R38">
        <v>-1.8371135738022733E-18</v>
      </c>
      <c r="S38">
        <v>0</v>
      </c>
      <c r="T38">
        <v>0</v>
      </c>
      <c r="U38">
        <v>0</v>
      </c>
      <c r="W38">
        <v>-2.0369359538690291E-13</v>
      </c>
      <c r="X38">
        <v>1.9824257056299142</v>
      </c>
      <c r="Y38">
        <v>1.9824257056300743</v>
      </c>
    </row>
    <row r="39" spans="3:25" x14ac:dyDescent="0.35">
      <c r="C39">
        <v>4.3749609273294611E-2</v>
      </c>
      <c r="D39">
        <v>-8.82997981633315E-2</v>
      </c>
      <c r="E39">
        <v>4.8669138677254982E-2</v>
      </c>
      <c r="F39">
        <v>-0.32135728990750434</v>
      </c>
      <c r="G39">
        <v>-0.7814481595360282</v>
      </c>
      <c r="H39">
        <v>3.2946489931695573</v>
      </c>
      <c r="I39">
        <v>-1.1318157648791922</v>
      </c>
      <c r="J39">
        <v>-5.9731954528375022</v>
      </c>
      <c r="K39">
        <v>5.5350216224504942</v>
      </c>
      <c r="L39">
        <v>4.4805773822431929</v>
      </c>
      <c r="M39">
        <v>-7.5774184482945763</v>
      </c>
      <c r="N39">
        <v>-0.62642758120027342</v>
      </c>
      <c r="O39">
        <v>5.2565604030558246</v>
      </c>
      <c r="P39">
        <v>-1.3717796726251112</v>
      </c>
      <c r="Q39">
        <v>-1.7899710414717451</v>
      </c>
      <c r="R39">
        <v>1.0000000000000002</v>
      </c>
      <c r="S39">
        <v>0</v>
      </c>
      <c r="T39">
        <v>0</v>
      </c>
      <c r="U39">
        <v>0</v>
      </c>
      <c r="W39">
        <v>6.6506800067145377E-12</v>
      </c>
      <c r="X39">
        <v>-0.51961416864986631</v>
      </c>
      <c r="Y39">
        <v>-0.51961416865449905</v>
      </c>
    </row>
    <row r="40" spans="3:25" x14ac:dyDescent="0.35">
      <c r="C40">
        <v>1.0217471755192773</v>
      </c>
      <c r="D40">
        <v>0.86711647511892243</v>
      </c>
      <c r="E40">
        <v>-1.1421879764177252</v>
      </c>
      <c r="F40">
        <v>3.4619947260141921</v>
      </c>
      <c r="G40">
        <v>-1.0362523706362787</v>
      </c>
      <c r="H40">
        <v>-15.736877072081741</v>
      </c>
      <c r="I40">
        <v>21.888474345222711</v>
      </c>
      <c r="J40">
        <v>20.710190864877077</v>
      </c>
      <c r="K40">
        <v>-63.644454212571603</v>
      </c>
      <c r="L40">
        <v>22.41865802137735</v>
      </c>
      <c r="M40">
        <v>57.738522686035751</v>
      </c>
      <c r="N40">
        <v>-59.794535352009873</v>
      </c>
      <c r="O40">
        <v>-3.4914825132641951</v>
      </c>
      <c r="P40">
        <v>33.531722361367279</v>
      </c>
      <c r="Q40">
        <v>-15.778985818926119</v>
      </c>
      <c r="R40">
        <v>-3.9585358020142973E-16</v>
      </c>
      <c r="S40">
        <v>1</v>
      </c>
      <c r="T40">
        <v>0</v>
      </c>
      <c r="U40">
        <v>0</v>
      </c>
      <c r="W40">
        <v>-1.5575096767861396E-11</v>
      </c>
      <c r="X40">
        <v>8.5189886484323267</v>
      </c>
      <c r="Y40">
        <v>8.5189886484555473</v>
      </c>
    </row>
    <row r="41" spans="3:25" x14ac:dyDescent="0.35">
      <c r="C41">
        <v>0.75195929461838518</v>
      </c>
      <c r="D41">
        <v>0.47880713740282138</v>
      </c>
      <c r="E41">
        <v>0.13148769912684069</v>
      </c>
      <c r="F41">
        <v>12.850444187028703</v>
      </c>
      <c r="G41">
        <v>-46.768657507450818</v>
      </c>
      <c r="H41">
        <v>29.059708067983728</v>
      </c>
      <c r="I41">
        <v>67.535715350560992</v>
      </c>
      <c r="J41">
        <v>-83.047826227184558</v>
      </c>
      <c r="K41">
        <v>-43.308052643607041</v>
      </c>
      <c r="L41">
        <v>93.492935764161061</v>
      </c>
      <c r="M41">
        <v>17.80243844940378</v>
      </c>
      <c r="N41">
        <v>-77.128135047918434</v>
      </c>
      <c r="O41">
        <v>7.1578885727037962</v>
      </c>
      <c r="P41">
        <v>41.107052091934094</v>
      </c>
      <c r="Q41">
        <v>-19.485919148076533</v>
      </c>
      <c r="R41">
        <v>-3.4575785097595358E-15</v>
      </c>
      <c r="S41">
        <v>0</v>
      </c>
      <c r="T41">
        <v>1</v>
      </c>
      <c r="U41">
        <v>0</v>
      </c>
      <c r="W41">
        <v>1.1539214028744027E-11</v>
      </c>
      <c r="X41">
        <v>8.4360052801566212</v>
      </c>
      <c r="Y41">
        <v>8.4360052801577012</v>
      </c>
    </row>
    <row r="42" spans="3:25" x14ac:dyDescent="0.35">
      <c r="C42">
        <v>-0.31479251895199523</v>
      </c>
      <c r="D42">
        <v>-1.1906171337224614</v>
      </c>
      <c r="E42">
        <v>2.3174365961145025</v>
      </c>
      <c r="F42">
        <v>-26.193066914084294</v>
      </c>
      <c r="G42">
        <v>44.724033418409817</v>
      </c>
      <c r="H42">
        <v>26.839828339091657</v>
      </c>
      <c r="I42">
        <v>-99.87943965522544</v>
      </c>
      <c r="J42">
        <v>-8.4923794655104068</v>
      </c>
      <c r="K42">
        <v>154.02046056067942</v>
      </c>
      <c r="L42">
        <v>-54.692537716664084</v>
      </c>
      <c r="M42">
        <v>-139.31213513682974</v>
      </c>
      <c r="N42">
        <v>116.23704021477177</v>
      </c>
      <c r="O42">
        <v>34.652136015240892</v>
      </c>
      <c r="P42">
        <v>-75.159509128494676</v>
      </c>
      <c r="Q42">
        <v>27.258457229698507</v>
      </c>
      <c r="R42">
        <v>4.0357292820888105E-15</v>
      </c>
      <c r="S42">
        <v>0</v>
      </c>
      <c r="T42">
        <v>0</v>
      </c>
      <c r="U42">
        <v>1</v>
      </c>
      <c r="W42">
        <v>5.9600324675557204E-11</v>
      </c>
      <c r="X42">
        <v>-14.044506890754924</v>
      </c>
      <c r="Y42">
        <v>-14.044506890826597</v>
      </c>
    </row>
    <row r="44" spans="3:25" x14ac:dyDescent="0.35">
      <c r="C44" t="s">
        <v>28</v>
      </c>
    </row>
    <row r="45" spans="3:25" x14ac:dyDescent="0.35">
      <c r="C45" cm="1">
        <f t="array" ref="C45:U63">MINVERSE(F2:X20)</f>
        <v>2.437302563108382E-2</v>
      </c>
      <c r="D45">
        <v>-1.5762782788247574E-2</v>
      </c>
      <c r="E45">
        <v>5.6789914016694126E-3</v>
      </c>
      <c r="F45">
        <v>3.1000456014743338E-2</v>
      </c>
      <c r="G45">
        <v>-0.3585517731586671</v>
      </c>
      <c r="H45">
        <v>0.56902894370453383</v>
      </c>
      <c r="I45">
        <v>0.27032049713057982</v>
      </c>
      <c r="J45">
        <v>-1.2916319566433079</v>
      </c>
      <c r="K45">
        <v>0.46207642820513212</v>
      </c>
      <c r="L45">
        <v>1.2547853062670318</v>
      </c>
      <c r="M45">
        <v>-1.0326794274475544</v>
      </c>
      <c r="N45">
        <v>-0.57771211871284589</v>
      </c>
      <c r="O45">
        <v>0.91542750437509535</v>
      </c>
      <c r="P45">
        <v>-1.8273184776995636E-2</v>
      </c>
      <c r="Q45">
        <v>-0.40973554587317107</v>
      </c>
      <c r="R45">
        <v>0.18028639323045687</v>
      </c>
      <c r="S45">
        <v>0</v>
      </c>
      <c r="T45">
        <v>0</v>
      </c>
      <c r="U45">
        <v>0</v>
      </c>
      <c r="W45" cm="1">
        <f t="array" ref="W45:Y63">MMULT(_xlfn.ANCHORARRAY(C45),B2:D20)</f>
        <v>1.2000000000071083</v>
      </c>
      <c r="X45">
        <v>4.9737991503207013E-13</v>
      </c>
      <c r="Y45">
        <v>0.79999999999866844</v>
      </c>
    </row>
    <row r="46" spans="3:25" x14ac:dyDescent="0.35">
      <c r="C46">
        <v>1.3692324324428674E-2</v>
      </c>
      <c r="D46">
        <v>-3.9473024001559854E-3</v>
      </c>
      <c r="E46">
        <v>-4.8268410496517021E-3</v>
      </c>
      <c r="F46">
        <v>1.3051824576429347E-2</v>
      </c>
      <c r="G46">
        <v>-0.17508307262672074</v>
      </c>
      <c r="H46">
        <v>0.30560194532068913</v>
      </c>
      <c r="I46">
        <v>0.15617056492443546</v>
      </c>
      <c r="J46">
        <v>-0.6766317899724863</v>
      </c>
      <c r="K46">
        <v>4.7166824584737116E-2</v>
      </c>
      <c r="L46">
        <v>0.92690206438544798</v>
      </c>
      <c r="M46">
        <v>-0.43531592385436968</v>
      </c>
      <c r="N46">
        <v>-0.7512011373899925</v>
      </c>
      <c r="O46">
        <v>0.70704925559591014</v>
      </c>
      <c r="P46">
        <v>0.15830701136318065</v>
      </c>
      <c r="Q46">
        <v>-0.42573324237975307</v>
      </c>
      <c r="R46">
        <v>0.16029994514278645</v>
      </c>
      <c r="S46">
        <v>0</v>
      </c>
      <c r="T46">
        <v>0</v>
      </c>
      <c r="U46">
        <v>0</v>
      </c>
      <c r="W46">
        <v>-2.0179413695586845E-12</v>
      </c>
      <c r="X46">
        <v>0.50000000000068212</v>
      </c>
      <c r="Y46">
        <v>2.4513724383723456E-13</v>
      </c>
    </row>
    <row r="47" spans="3:25" x14ac:dyDescent="0.35">
      <c r="C47">
        <v>-2.3268357409459661E-2</v>
      </c>
      <c r="D47">
        <v>1.3683335829912451E-2</v>
      </c>
      <c r="E47">
        <v>9.6580984720451822E-4</v>
      </c>
      <c r="F47">
        <v>-0.1038607963029034</v>
      </c>
      <c r="G47">
        <v>0.54095771640353574</v>
      </c>
      <c r="H47">
        <v>-0.56596108174779958</v>
      </c>
      <c r="I47">
        <v>-0.67848626517216004</v>
      </c>
      <c r="J47">
        <v>1.5007836530295191</v>
      </c>
      <c r="K47">
        <v>7.6927371498956801E-2</v>
      </c>
      <c r="L47">
        <v>-1.8013688851661047</v>
      </c>
      <c r="M47">
        <v>0.72349823704301364</v>
      </c>
      <c r="N47">
        <v>1.2194774611431562</v>
      </c>
      <c r="O47">
        <v>-1.033289597819941</v>
      </c>
      <c r="P47">
        <v>-0.26205359928143074</v>
      </c>
      <c r="Q47">
        <v>0.60570143041955682</v>
      </c>
      <c r="R47">
        <v>-0.22013455847100166</v>
      </c>
      <c r="S47">
        <v>0</v>
      </c>
      <c r="T47">
        <v>0</v>
      </c>
      <c r="U47">
        <v>0</v>
      </c>
      <c r="W47">
        <v>-5.0590642786119133E-12</v>
      </c>
      <c r="X47">
        <v>0.49999999999990052</v>
      </c>
      <c r="Y47">
        <v>1.2363443602225743E-12</v>
      </c>
    </row>
    <row r="48" spans="3:25" x14ac:dyDescent="0.35">
      <c r="C48">
        <v>6.3908070187390729E-4</v>
      </c>
      <c r="D48">
        <v>-1.9148403927684839E-3</v>
      </c>
      <c r="E48">
        <v>1.8858003286725787E-3</v>
      </c>
      <c r="F48">
        <v>9.9840742460947485E-2</v>
      </c>
      <c r="G48">
        <v>-0.52631926261206352</v>
      </c>
      <c r="H48">
        <v>0.50323886638460247</v>
      </c>
      <c r="I48">
        <v>0.673465101543259</v>
      </c>
      <c r="J48">
        <v>-1.3506373026898446</v>
      </c>
      <c r="K48">
        <v>-8.8710897532273875E-2</v>
      </c>
      <c r="L48">
        <v>1.5259956015188025</v>
      </c>
      <c r="M48">
        <v>-0.60155316421912708</v>
      </c>
      <c r="N48">
        <v>-0.94333709534431875</v>
      </c>
      <c r="O48">
        <v>0.79392069984869718</v>
      </c>
      <c r="P48">
        <v>0.18221465563769321</v>
      </c>
      <c r="Q48">
        <v>-0.45492267897341565</v>
      </c>
      <c r="R48">
        <v>0.17456374713115674</v>
      </c>
      <c r="S48">
        <v>0</v>
      </c>
      <c r="T48">
        <v>0</v>
      </c>
      <c r="U48">
        <v>0</v>
      </c>
      <c r="W48">
        <v>1.0000000000014353</v>
      </c>
      <c r="X48">
        <v>1.3429257705865894E-12</v>
      </c>
      <c r="Y48">
        <v>8.2422957348171622E-13</v>
      </c>
    </row>
    <row r="49" spans="3:25" x14ac:dyDescent="0.35">
      <c r="C49">
        <v>-2.1754016016696159E-2</v>
      </c>
      <c r="D49">
        <v>6.488807177565962E-3</v>
      </c>
      <c r="E49">
        <v>1.5359276636251099E-2</v>
      </c>
      <c r="F49">
        <v>3.7717370602851691E-3</v>
      </c>
      <c r="G49">
        <v>8.7462865805688753E-2</v>
      </c>
      <c r="H49">
        <v>-0.19875915046884762</v>
      </c>
      <c r="I49">
        <v>-0.18944389093951347</v>
      </c>
      <c r="J49">
        <v>0.59621770430700249</v>
      </c>
      <c r="K49">
        <v>0.22544174801073666</v>
      </c>
      <c r="L49">
        <v>-1.2854715743373804</v>
      </c>
      <c r="M49">
        <v>0.43589670742348152</v>
      </c>
      <c r="N49">
        <v>1.2246028523010684</v>
      </c>
      <c r="O49">
        <v>-1.0883534461541826</v>
      </c>
      <c r="P49">
        <v>-0.23320500677023079</v>
      </c>
      <c r="Q49">
        <v>0.65160643328188572</v>
      </c>
      <c r="R49">
        <v>-0.24301366791783174</v>
      </c>
      <c r="S49">
        <v>0</v>
      </c>
      <c r="T49">
        <v>0</v>
      </c>
      <c r="U49">
        <v>0</v>
      </c>
      <c r="W49">
        <v>6.1817218011128716E-12</v>
      </c>
      <c r="X49">
        <v>-1.4921397450962104E-13</v>
      </c>
      <c r="Y49">
        <v>0.19999999999982521</v>
      </c>
    </row>
    <row r="50" spans="3:25" x14ac:dyDescent="0.35">
      <c r="C50">
        <v>1.1178335483143808E-3</v>
      </c>
      <c r="D50">
        <v>-6.2226182259305393E-4</v>
      </c>
      <c r="E50">
        <v>-4.0382553480200218E-3</v>
      </c>
      <c r="F50">
        <v>-6.5697038837839242E-2</v>
      </c>
      <c r="G50">
        <v>0.30502298127952976</v>
      </c>
      <c r="H50">
        <v>-0.21534888926161871</v>
      </c>
      <c r="I50">
        <v>-0.3867372766026908</v>
      </c>
      <c r="J50">
        <v>0.53073122817564844</v>
      </c>
      <c r="K50">
        <v>0.14090959357993929</v>
      </c>
      <c r="L50">
        <v>-0.45508919039729234</v>
      </c>
      <c r="M50">
        <v>-4.4839820870268462E-5</v>
      </c>
      <c r="N50">
        <v>0.24806538662079494</v>
      </c>
      <c r="O50">
        <v>-2.737389953285569E-2</v>
      </c>
      <c r="P50">
        <v>-0.10805120013393497</v>
      </c>
      <c r="Q50">
        <v>7.0175601735131904E-2</v>
      </c>
      <c r="R50">
        <v>-2.6233807242166889E-2</v>
      </c>
      <c r="S50">
        <v>0</v>
      </c>
      <c r="T50">
        <v>0</v>
      </c>
      <c r="U50">
        <v>0</v>
      </c>
      <c r="W50">
        <v>-5.2136073236397351E-12</v>
      </c>
      <c r="X50">
        <v>-9.5212726591853425E-13</v>
      </c>
      <c r="Y50">
        <v>9.9999999999760725E-2</v>
      </c>
    </row>
    <row r="51" spans="3:25" x14ac:dyDescent="0.35">
      <c r="C51">
        <v>-1.7814395168699221E-2</v>
      </c>
      <c r="D51">
        <v>1.5502528586868337E-2</v>
      </c>
      <c r="E51">
        <v>2.9926554849892622E-3</v>
      </c>
      <c r="F51">
        <v>-0.15342884160018888</v>
      </c>
      <c r="G51">
        <v>0.85191471543097641</v>
      </c>
      <c r="H51">
        <v>-1.0204994858878067</v>
      </c>
      <c r="I51">
        <v>-0.94756839395681081</v>
      </c>
      <c r="J51">
        <v>2.6464809264809057</v>
      </c>
      <c r="K51">
        <v>-0.39298359902964497</v>
      </c>
      <c r="L51">
        <v>-2.8056525405653034</v>
      </c>
      <c r="M51">
        <v>1.6563465116246332</v>
      </c>
      <c r="N51">
        <v>1.5247442579780139</v>
      </c>
      <c r="O51">
        <v>-1.6488090514402507</v>
      </c>
      <c r="P51">
        <v>-0.21563812917621941</v>
      </c>
      <c r="Q51">
        <v>0.80274316706822335</v>
      </c>
      <c r="R51">
        <v>-0.29015808500715462</v>
      </c>
      <c r="S51">
        <v>0</v>
      </c>
      <c r="T51">
        <v>0</v>
      </c>
      <c r="U51">
        <v>0</v>
      </c>
      <c r="W51">
        <v>1.0000000000035669</v>
      </c>
      <c r="X51">
        <v>0.99999999999967315</v>
      </c>
      <c r="Y51">
        <v>-1.2079226507921703E-13</v>
      </c>
    </row>
    <row r="52" spans="3:25" x14ac:dyDescent="0.35">
      <c r="C52">
        <v>-3.3716958255099417E-3</v>
      </c>
      <c r="D52">
        <v>7.6707487862166723E-3</v>
      </c>
      <c r="E52">
        <v>-8.1425242813568874E-3</v>
      </c>
      <c r="F52">
        <v>-0.16102514580945518</v>
      </c>
      <c r="G52">
        <v>0.82856168615337344</v>
      </c>
      <c r="H52">
        <v>-0.97675392546769946</v>
      </c>
      <c r="I52">
        <v>-0.61271196334334188</v>
      </c>
      <c r="J52">
        <v>1.9339293944788756</v>
      </c>
      <c r="K52">
        <v>-0.45434545751200761</v>
      </c>
      <c r="L52">
        <v>-1.5190162829261245</v>
      </c>
      <c r="M52">
        <v>0.75946652229451173</v>
      </c>
      <c r="N52">
        <v>0.88605957901120525</v>
      </c>
      <c r="O52">
        <v>-0.64671002045957759</v>
      </c>
      <c r="P52">
        <v>-0.38485184850498994</v>
      </c>
      <c r="Q52">
        <v>0.51855391098086379</v>
      </c>
      <c r="R52">
        <v>-0.16148539952568414</v>
      </c>
      <c r="S52">
        <v>0</v>
      </c>
      <c r="T52">
        <v>0</v>
      </c>
      <c r="U52">
        <v>0</v>
      </c>
      <c r="W52">
        <v>-3.1263880373444408E-13</v>
      </c>
      <c r="X52">
        <v>0.19999999999993889</v>
      </c>
      <c r="Y52">
        <v>-2.8421709430404007E-13</v>
      </c>
    </row>
    <row r="53" spans="3:25" x14ac:dyDescent="0.35">
      <c r="C53">
        <v>2.0630424472660381E-2</v>
      </c>
      <c r="D53">
        <v>-2.546457815018666E-2</v>
      </c>
      <c r="E53">
        <v>6.8420605386310318E-3</v>
      </c>
      <c r="F53">
        <v>0.16611862900416519</v>
      </c>
      <c r="G53">
        <v>-0.94452407048820908</v>
      </c>
      <c r="H53">
        <v>1.1611328807728452</v>
      </c>
      <c r="I53">
        <v>0.92130955064644326</v>
      </c>
      <c r="J53">
        <v>-2.7740550985854204</v>
      </c>
      <c r="K53">
        <v>0.52879498715399365</v>
      </c>
      <c r="L53">
        <v>2.7268433823221385</v>
      </c>
      <c r="M53">
        <v>-1.6212942022676942</v>
      </c>
      <c r="N53">
        <v>-1.4667372297233268</v>
      </c>
      <c r="O53">
        <v>1.5215061356127262</v>
      </c>
      <c r="P53">
        <v>0.28096195411515035</v>
      </c>
      <c r="Q53">
        <v>-0.78869947348790292</v>
      </c>
      <c r="R53">
        <v>0.27283813578484728</v>
      </c>
      <c r="S53">
        <v>0</v>
      </c>
      <c r="T53">
        <v>0</v>
      </c>
      <c r="U53">
        <v>0</v>
      </c>
      <c r="W53">
        <v>3.1263880373444408E-13</v>
      </c>
      <c r="X53">
        <v>0.19999999999937756</v>
      </c>
      <c r="Y53">
        <v>-1.1297629498585593E-12</v>
      </c>
    </row>
    <row r="54" spans="3:25" x14ac:dyDescent="0.35">
      <c r="C54">
        <v>1.7059768323265646E-2</v>
      </c>
      <c r="D54">
        <v>-7.9755219764323145E-3</v>
      </c>
      <c r="E54">
        <v>-8.3165304199373721E-3</v>
      </c>
      <c r="F54">
        <v>0.12709807679694901</v>
      </c>
      <c r="G54">
        <v>-0.51887284131027112</v>
      </c>
      <c r="H54">
        <v>0.58856653628123956</v>
      </c>
      <c r="I54">
        <v>0.4994077096758095</v>
      </c>
      <c r="J54">
        <v>-1.5338808000823803</v>
      </c>
      <c r="K54">
        <v>0.40219489604671371</v>
      </c>
      <c r="L54">
        <v>1.5602380617577938</v>
      </c>
      <c r="M54">
        <v>-1.1750546759144735</v>
      </c>
      <c r="N54">
        <v>-0.78462279223055065</v>
      </c>
      <c r="O54">
        <v>1.1400560227949998</v>
      </c>
      <c r="P54">
        <v>3.4289859229868803E-2</v>
      </c>
      <c r="Q54">
        <v>-0.56788635023235634</v>
      </c>
      <c r="R54">
        <v>0.23609211050621171</v>
      </c>
      <c r="S54">
        <v>0</v>
      </c>
      <c r="T54">
        <v>0</v>
      </c>
      <c r="U54">
        <v>0</v>
      </c>
      <c r="W54">
        <v>1.0000000000006679</v>
      </c>
      <c r="X54">
        <v>-1.2789769243681803E-13</v>
      </c>
      <c r="Y54">
        <v>0.19999999999948415</v>
      </c>
    </row>
    <row r="55" spans="3:25" x14ac:dyDescent="0.35">
      <c r="C55">
        <v>3.0418071264203594E-2</v>
      </c>
      <c r="D55">
        <v>-2.5374213519633839E-2</v>
      </c>
      <c r="E55">
        <v>-2.8811720419707415E-3</v>
      </c>
      <c r="F55">
        <v>0.27282244579200016</v>
      </c>
      <c r="G55">
        <v>-1.4024003240221343</v>
      </c>
      <c r="H55">
        <v>1.6890660149238528</v>
      </c>
      <c r="I55">
        <v>1.2022328357045509</v>
      </c>
      <c r="J55">
        <v>-3.6950334486147205</v>
      </c>
      <c r="K55">
        <v>0.5396600675256048</v>
      </c>
      <c r="L55">
        <v>3.8083454563593468</v>
      </c>
      <c r="M55">
        <v>-1.8988391926396968</v>
      </c>
      <c r="N55">
        <v>-2.6118936978927456</v>
      </c>
      <c r="O55">
        <v>2.370493605927233</v>
      </c>
      <c r="P55">
        <v>0.70773404393454287</v>
      </c>
      <c r="Q55">
        <v>-1.5515747546325382</v>
      </c>
      <c r="R55">
        <v>0.55513855359014186</v>
      </c>
      <c r="S55">
        <v>0</v>
      </c>
      <c r="T55">
        <v>0</v>
      </c>
      <c r="U55">
        <v>0</v>
      </c>
      <c r="W55">
        <v>-1.5347723092418164E-12</v>
      </c>
      <c r="X55">
        <v>5.8264504332328215E-13</v>
      </c>
      <c r="Y55">
        <v>0.29999999999974136</v>
      </c>
    </row>
    <row r="56" spans="3:25" x14ac:dyDescent="0.35">
      <c r="C56">
        <v>-1.6321476548578209E-2</v>
      </c>
      <c r="D56">
        <v>1.39824284031027E-2</v>
      </c>
      <c r="E56">
        <v>-2.058557823546791E-3</v>
      </c>
      <c r="F56">
        <v>-0.16159111364752232</v>
      </c>
      <c r="G56">
        <v>0.68880023787930622</v>
      </c>
      <c r="H56">
        <v>-0.79052759794173089</v>
      </c>
      <c r="I56">
        <v>-0.56544520403725773</v>
      </c>
      <c r="J56">
        <v>1.824948698094756</v>
      </c>
      <c r="K56">
        <v>-0.46038441506956818</v>
      </c>
      <c r="L56">
        <v>-1.7897497064580987</v>
      </c>
      <c r="M56">
        <v>1.2069424444981283</v>
      </c>
      <c r="N56">
        <v>1.0494221074274024</v>
      </c>
      <c r="O56">
        <v>-1.2724881674310162</v>
      </c>
      <c r="P56">
        <v>-0.18649089870975874</v>
      </c>
      <c r="Q56">
        <v>0.7462586143765888</v>
      </c>
      <c r="R56">
        <v>-0.29339866727011055</v>
      </c>
      <c r="S56">
        <v>0</v>
      </c>
      <c r="T56">
        <v>0</v>
      </c>
      <c r="U56">
        <v>0</v>
      </c>
      <c r="W56">
        <v>4.9737991503207013E-13</v>
      </c>
      <c r="X56">
        <v>1.2789769243681803E-13</v>
      </c>
      <c r="Y56">
        <v>1.0000000000003624</v>
      </c>
    </row>
    <row r="57" spans="3:25" x14ac:dyDescent="0.35">
      <c r="C57">
        <v>1.0179685421590647E-2</v>
      </c>
      <c r="D57">
        <v>-1.1250313274116824E-2</v>
      </c>
      <c r="E57">
        <v>1.5299215955545229E-2</v>
      </c>
      <c r="F57">
        <v>4.7707481346531619E-2</v>
      </c>
      <c r="G57">
        <v>-0.32089691526558556</v>
      </c>
      <c r="H57">
        <v>0.38776714661809636</v>
      </c>
      <c r="I57">
        <v>0.32027338526929228</v>
      </c>
      <c r="J57">
        <v>-0.9542031141079157</v>
      </c>
      <c r="K57">
        <v>0.19402043365187679</v>
      </c>
      <c r="L57">
        <v>0.97743305472036834</v>
      </c>
      <c r="M57">
        <v>-0.65456279203498713</v>
      </c>
      <c r="N57">
        <v>-0.49640824467170314</v>
      </c>
      <c r="O57">
        <v>0.63254425852181617</v>
      </c>
      <c r="P57">
        <v>3.3346010509698154E-2</v>
      </c>
      <c r="Q57">
        <v>-0.29679470298989574</v>
      </c>
      <c r="R57">
        <v>0.11704285145590894</v>
      </c>
      <c r="S57">
        <v>0</v>
      </c>
      <c r="T57">
        <v>0</v>
      </c>
      <c r="U57">
        <v>0</v>
      </c>
      <c r="W57">
        <v>0.99999999999982236</v>
      </c>
      <c r="X57">
        <v>4.1211478674085811E-13</v>
      </c>
      <c r="Y57">
        <v>2.0000000000000568</v>
      </c>
    </row>
    <row r="58" spans="3:25" x14ac:dyDescent="0.35">
      <c r="C58">
        <v>-1.4529105457135106E-2</v>
      </c>
      <c r="D58">
        <v>1.3707228899133362E-2</v>
      </c>
      <c r="E58">
        <v>4.6890239609635826E-3</v>
      </c>
      <c r="F58">
        <v>-0.13080559313921736</v>
      </c>
      <c r="G58">
        <v>0.60892486302565041</v>
      </c>
      <c r="H58">
        <v>-0.70507892798144878</v>
      </c>
      <c r="I58">
        <v>-0.53956897361859724</v>
      </c>
      <c r="J58">
        <v>1.5985199522415432</v>
      </c>
      <c r="K58">
        <v>-0.20621036575027851</v>
      </c>
      <c r="L58">
        <v>-1.731125089106019</v>
      </c>
      <c r="M58">
        <v>0.88771629282541409</v>
      </c>
      <c r="N58">
        <v>1.2124599078238956</v>
      </c>
      <c r="O58">
        <v>-1.1694083154939634</v>
      </c>
      <c r="P58">
        <v>-0.28811175637515629</v>
      </c>
      <c r="Q58">
        <v>0.75117130591048109</v>
      </c>
      <c r="R58">
        <v>-0.28316038802512644</v>
      </c>
      <c r="S58">
        <v>0</v>
      </c>
      <c r="T58">
        <v>0</v>
      </c>
      <c r="U58">
        <v>0</v>
      </c>
      <c r="W58">
        <v>-0.99999999999958789</v>
      </c>
      <c r="X58">
        <v>-1.5631940186722204E-13</v>
      </c>
      <c r="Y58">
        <v>1.9999999999998579</v>
      </c>
    </row>
    <row r="59" spans="3:25" x14ac:dyDescent="0.35">
      <c r="C59">
        <v>-7.3387115962437882E-3</v>
      </c>
      <c r="D59">
        <v>9.3671259006243915E-3</v>
      </c>
      <c r="E59">
        <v>-1.0312154787833615E-2</v>
      </c>
      <c r="F59">
        <v>-2.974993662898431E-2</v>
      </c>
      <c r="G59">
        <v>0.14535196628368924</v>
      </c>
      <c r="H59">
        <v>-0.15441080508551802</v>
      </c>
      <c r="I59">
        <v>-0.18982454284227693</v>
      </c>
      <c r="J59">
        <v>0.51583058401876225</v>
      </c>
      <c r="K59">
        <v>-0.17031633216809661</v>
      </c>
      <c r="L59">
        <v>-0.49288263278979139</v>
      </c>
      <c r="M59">
        <v>0.48954671075586847</v>
      </c>
      <c r="N59">
        <v>8.3844248055483683E-2</v>
      </c>
      <c r="O59">
        <v>-0.32449112080088277</v>
      </c>
      <c r="P59">
        <v>0.10225250136062439</v>
      </c>
      <c r="Q59">
        <v>5.923849944509741E-2</v>
      </c>
      <c r="R59">
        <v>-3.3821815166498272E-2</v>
      </c>
      <c r="S59">
        <v>0</v>
      </c>
      <c r="T59">
        <v>0</v>
      </c>
      <c r="U59">
        <v>0</v>
      </c>
      <c r="W59">
        <v>-1.2967404927621828E-13</v>
      </c>
      <c r="X59">
        <v>2.0000000000000089</v>
      </c>
      <c r="Y59">
        <v>2.0000000000001084</v>
      </c>
    </row>
    <row r="60" spans="3:25" x14ac:dyDescent="0.35">
      <c r="C60">
        <v>-8.4196336267737606E-3</v>
      </c>
      <c r="D60">
        <v>1.6993339190965906E-2</v>
      </c>
      <c r="E60">
        <v>-9.3663994581836361E-3</v>
      </c>
      <c r="F60">
        <v>6.1845367061728967E-2</v>
      </c>
      <c r="G60">
        <v>0.15039007915497488</v>
      </c>
      <c r="H60">
        <v>-0.63405680443961121</v>
      </c>
      <c r="I60">
        <v>0.21781849556097574</v>
      </c>
      <c r="J60">
        <v>1.1495443760386186</v>
      </c>
      <c r="K60">
        <v>-1.0652176088290508</v>
      </c>
      <c r="L60">
        <v>-0.86228930089952893</v>
      </c>
      <c r="M60">
        <v>1.4582778733601367</v>
      </c>
      <c r="N60">
        <v>0.1205562933023003</v>
      </c>
      <c r="O60">
        <v>-1.0116276114436573</v>
      </c>
      <c r="P60">
        <v>0.26399966655723572</v>
      </c>
      <c r="Q60">
        <v>0.34448079930456116</v>
      </c>
      <c r="R60">
        <v>-0.19245048736728335</v>
      </c>
      <c r="S60">
        <v>0</v>
      </c>
      <c r="T60">
        <v>0</v>
      </c>
      <c r="U60">
        <v>0</v>
      </c>
      <c r="W60">
        <v>-5.5422333389287814E-13</v>
      </c>
      <c r="X60">
        <v>9.9999999999809575E-2</v>
      </c>
      <c r="Y60">
        <v>0.10000000000061959</v>
      </c>
    </row>
    <row r="61" spans="3:25" x14ac:dyDescent="0.35">
      <c r="C61">
        <v>1.7390148084241301</v>
      </c>
      <c r="D61">
        <v>-0.58054416154988142</v>
      </c>
      <c r="E61">
        <v>-0.34426546980778494</v>
      </c>
      <c r="F61">
        <v>-1.806605073558762</v>
      </c>
      <c r="G61">
        <v>-13.847966142224234</v>
      </c>
      <c r="H61">
        <v>38.278350122771968</v>
      </c>
      <c r="I61">
        <v>3.3325414341866937</v>
      </c>
      <c r="J61">
        <v>-77.21936403860029</v>
      </c>
      <c r="K61">
        <v>27.101312964728656</v>
      </c>
      <c r="L61">
        <v>95.876985681696155</v>
      </c>
      <c r="M61">
        <v>-66.492003808184691</v>
      </c>
      <c r="N61">
        <v>-70.064712293409457</v>
      </c>
      <c r="O61">
        <v>82.688958870076675</v>
      </c>
      <c r="P61">
        <v>11.041620735444519</v>
      </c>
      <c r="Q61">
        <v>-45.125266007727184</v>
      </c>
      <c r="R61">
        <v>16.394835172680814</v>
      </c>
      <c r="S61">
        <v>1</v>
      </c>
      <c r="T61">
        <v>0</v>
      </c>
      <c r="U61">
        <v>0</v>
      </c>
      <c r="W61">
        <v>-1.4551915228366852E-11</v>
      </c>
      <c r="X61">
        <v>1.0174971976084635E-11</v>
      </c>
      <c r="Y61">
        <v>-2.1827872842550278E-11</v>
      </c>
    </row>
    <row r="62" spans="3:25" x14ac:dyDescent="0.35">
      <c r="C62">
        <v>1.4622400319420634</v>
      </c>
      <c r="D62">
        <v>-0.95475185402037366</v>
      </c>
      <c r="E62">
        <v>0.92163765197888381</v>
      </c>
      <c r="F62">
        <v>7.6331657561748694</v>
      </c>
      <c r="G62">
        <v>-59.455572525781967</v>
      </c>
      <c r="H62">
        <v>82.548773569641497</v>
      </c>
      <c r="I62">
        <v>49.160535563900055</v>
      </c>
      <c r="J62">
        <v>-180.02345048743675</v>
      </c>
      <c r="K62">
        <v>46.553761082268679</v>
      </c>
      <c r="L62">
        <v>166.23570671818908</v>
      </c>
      <c r="M62">
        <v>-105.21795994647464</v>
      </c>
      <c r="N62">
        <v>-87.298270316450143</v>
      </c>
      <c r="O62">
        <v>92.498847289516988</v>
      </c>
      <c r="P62">
        <v>18.836026281594883</v>
      </c>
      <c r="Q62">
        <v>-48.546337566502352</v>
      </c>
      <c r="R62">
        <v>16.235133275972906</v>
      </c>
      <c r="S62">
        <v>0</v>
      </c>
      <c r="T62">
        <v>1</v>
      </c>
      <c r="U62">
        <v>0</v>
      </c>
      <c r="W62">
        <v>-4.4565240386873484E-11</v>
      </c>
      <c r="X62">
        <v>4.6654236030008178E-11</v>
      </c>
      <c r="Y62">
        <v>2.1316282072803006E-11</v>
      </c>
    </row>
    <row r="63" spans="3:25" x14ac:dyDescent="0.35">
      <c r="C63">
        <v>-1.4972885438431207</v>
      </c>
      <c r="D63">
        <v>1.1960135599272781</v>
      </c>
      <c r="E63">
        <v>1.0019719787914187</v>
      </c>
      <c r="F63">
        <v>-17.507190075468284</v>
      </c>
      <c r="G63">
        <v>65.845578448387911</v>
      </c>
      <c r="H63">
        <v>-62.210323251923143</v>
      </c>
      <c r="I63">
        <v>-69.287906036759239</v>
      </c>
      <c r="J63">
        <v>152.95545963986919</v>
      </c>
      <c r="K63">
        <v>4.415900086824184</v>
      </c>
      <c r="L63">
        <v>-175.79681800000361</v>
      </c>
      <c r="M63">
        <v>65.495801274033155</v>
      </c>
      <c r="N63">
        <v>133.16857713488886</v>
      </c>
      <c r="O63">
        <v>-107.42597358305115</v>
      </c>
      <c r="P63">
        <v>-38.082057767213335</v>
      </c>
      <c r="Q63">
        <v>75.639086825460183</v>
      </c>
      <c r="R63">
        <v>-27.028721959648173</v>
      </c>
      <c r="S63">
        <v>0</v>
      </c>
      <c r="T63">
        <v>0</v>
      </c>
      <c r="U63">
        <v>1</v>
      </c>
      <c r="W63">
        <v>8.7311491370201111E-11</v>
      </c>
      <c r="X63">
        <v>-2.0037305148434825E-12</v>
      </c>
      <c r="Y63">
        <v>-1.7053025658242404E-13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audio</vt:lpstr>
      <vt:lpstr>mix</vt:lpstr>
      <vt:lpstr>solution</vt:lpstr>
      <vt:lpstr>altsolution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Robly 18</dc:creator>
  <cp:lastModifiedBy>Robly 18</cp:lastModifiedBy>
  <dcterms:created xsi:type="dcterms:W3CDTF">2026-01-02T22:25:55Z</dcterms:created>
  <dcterms:modified xsi:type="dcterms:W3CDTF">2026-01-03T20:20:00Z</dcterms:modified>
</cp:coreProperties>
</file>